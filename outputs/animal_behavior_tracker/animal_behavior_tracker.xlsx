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8eeb6dcdd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7919a6b81694a94"/>
    <x:sheet xmlns:r="http://schemas.openxmlformats.org/officeDocument/2006/relationships" name="Animals" sheetId="2" r:id="R05ef6ecd69f84b91"/>
    <x:sheet xmlns:r="http://schemas.openxmlformats.org/officeDocument/2006/relationships" name="Protocols" sheetId="3" r:id="R537e8c551e2d4287"/>
    <x:sheet xmlns:r="http://schemas.openxmlformats.org/officeDocument/2006/relationships" name="Normal Parameters" sheetId="4" r:id="Rf9f8616f0dd44352"/>
    <x:sheet xmlns:r="http://schemas.openxmlformats.org/officeDocument/2006/relationships" name="Daily Observations" sheetId="5" r:id="R3fce40ca1c914f93"/>
    <x:sheet xmlns:r="http://schemas.openxmlformats.org/officeDocument/2006/relationships" name="Events &amp; Treatments" sheetId="6" r:id="Rd3d3bf1cc4d94e27"/>
    <x:sheet xmlns:r="http://schemas.openxmlformats.org/officeDocument/2006/relationships" name="Lists" sheetId="7" r:id="R68b0465da1be43cd"/>
  </x:sheets>
</x:workbook>
</file>

<file path=xl/comments1.xml><?xml version="1.0" encoding="utf-8"?>
<x:comments xmlns:x="http://schemas.openxmlformats.org/spreadsheetml/2006/main">
  <x:authors>
    <x:author>tc={42EE3BA3-BAFF-4938-F088-BCE114CECAA9}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Animal ID is the key used by formulas and dropdowns. Keep it unique.</x:t>
        </x:r>
      </x:text>
    </x:comment>
  </x:commentList>
</x:comments>
</file>

<file path=xl/comments2.xml><?xml version="1.0" encoding="utf-8"?>
<x:comments xmlns:x="http://schemas.openxmlformats.org/spreadsheetml/2006/main">
  <x:authors>
    <x:author>tc={CF123B90-A10B-FEF0-A16A-545D9004AA70}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Min/Target/Max values are examples. Replace them with validated ranges for your animal model and protocol.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2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147A7E"/>
      </x:patternFill>
    </x:fill>
    <x:fill>
      <x:patternFill patternType="solid">
        <x:fgColor rgb="FFF3F6F8"/>
      </x:patternFill>
    </x:fill>
  </x:fills>
  <x:borders count="16">
    <x:border/>
    <x:border>
      <x:left style="thin">
        <x:color rgb="FFC9D3DC"/>
      </x:left>
      <x:top style="thin">
        <x:color rgb="FFC9D3DC"/>
      </x:top>
      <x:bottom style="thin">
        <x:color rgb="FFC9D3DC"/>
      </x:bottom>
    </x:border>
    <x:border>
      <x:top style="thin">
        <x:color rgb="FFC9D3DC"/>
      </x:top>
      <x:bottom style="thin">
        <x:color rgb="FFC9D3DC"/>
      </x:bottom>
    </x:border>
    <x:border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C9D3DC"/>
      </x:left>
      <x:right style="thin">
        <x:color rgb="FFE5EAF0"/>
      </x:right>
      <x:top style="thin">
        <x:color rgb="FFC9D3DC"/>
      </x:top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top style="thin">
        <x:color rgb="FFC9D3DC"/>
      </x:top>
      <x:bottom style="thin">
        <x:color rgb="FFE5EAF0"/>
      </x:bottom>
    </x:border>
    <x:border>
      <x:left style="thin">
        <x:color rgb="FFE5EAF0"/>
      </x:left>
      <x:right style="thin">
        <x:color rgb="FFC9D3DC"/>
      </x:right>
      <x:top style="thin">
        <x:color rgb="FFC9D3DC"/>
      </x:top>
      <x:bottom style="thin">
        <x:color rgb="FFE5EAF0"/>
      </x:bottom>
    </x:border>
    <x:border>
      <x:left style="thin">
        <x:color rgb="FFC9D3DC"/>
      </x:left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right style="thin">
        <x:color rgb="FFC9D3DC"/>
      </x:right>
      <x:top style="thin">
        <x:color rgb="FFE5EAF0"/>
      </x:top>
      <x:bottom style="thin">
        <x:color rgb="FFE5EAF0"/>
      </x:bottom>
    </x:border>
    <x:border>
      <x:left style="thin">
        <x:color rgb="FFC9D3DC"/>
      </x:left>
      <x:right style="thin">
        <x:color rgb="FFE5EAF0"/>
      </x:right>
      <x:top style="thin">
        <x:color rgb="FFE5EAF0"/>
      </x:top>
      <x:bottom style="thin">
        <x:color rgb="FFC9D3DC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C9D3DC"/>
      </x:bottom>
    </x:border>
    <x:border>
      <x:left style="thin">
        <x:color rgb="FFE5EAF0"/>
      </x:left>
      <x:right style="thin">
        <x:color rgb="FFC9D3DC"/>
      </x:right>
      <x:top style="thin">
        <x:color rgb="FFE5EAF0"/>
      </x:top>
      <x:bottom style="thin">
        <x:color rgb="FFC9D3DC"/>
      </x:bottom>
    </x:border>
    <x:border>
      <x:left style="thin">
        <x:color rgb="FFC9D3DC"/>
      </x:left>
      <x:right style="thin">
        <x:color rgb="FFC9D3DC"/>
      </x:right>
      <x:top style="thin">
        <x:color rgb="FFC9D3DC"/>
      </x:top>
    </x:border>
    <x:border>
      <x:left style="thin">
        <x:color rgb="FFC9D3DC"/>
      </x:left>
      <x:right style="thin">
        <x:color rgb="FFC9D3DC"/>
      </x:right>
    </x:border>
    <x:border>
      <x:left style="thin">
        <x:color rgb="FFC9D3DC"/>
      </x:left>
      <x:right style="thin">
        <x:color rgb="FFC9D3DC"/>
      </x:right>
      <x:bottom style="thin">
        <x:color rgb="FFC9D3DC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201" fontId="4" fillId="4" borderId="5" xfId="0" applyNumberFormat="1" applyFont="1" applyFill="1" applyBorder="1" applyAlignment="1">
      <x:alignment vertical="top" wrapText="1"/>
    </x:xf>
    <x:xf numFmtId="201" fontId="4" fillId="4" borderId="8" xfId="0" applyNumberFormat="1" applyFont="1" applyFill="1" applyBorder="1" applyAlignment="1">
      <x:alignment vertical="top" wrapText="1"/>
    </x:xf>
    <x:xf numFmtId="201" fontId="4" fillId="4" borderId="11" xfId="0" applyNumberFormat="1" applyFont="1" applyFill="1" applyBorder="1" applyAlignment="1">
      <x:alignment vertical="top" wrapText="1"/>
    </x:xf>
    <x:xf numFmtId="202" fontId="4" fillId="4" borderId="5" xfId="0" applyNumberFormat="1" applyFont="1" applyFill="1" applyBorder="1" applyAlignment="1">
      <x:alignment vertical="top" wrapText="1"/>
    </x:xf>
    <x:xf numFmtId="202" fontId="4" fillId="4" borderId="8" xfId="0" applyNumberFormat="1" applyFont="1" applyFill="1" applyBorder="1" applyAlignment="1">
      <x:alignment vertical="top" wrapText="1"/>
    </x:xf>
    <x:xf numFmtId="202" fontId="4" fillId="4" borderId="11" xfId="0" applyNumberFormat="1" applyFont="1" applyFill="1" applyBorder="1" applyAlignment="1">
      <x:alignment vertical="top" wrapText="1"/>
    </x:xf>
    <x:xf numFmtId="201" fontId="4" fillId="4" borderId="4" xfId="0" applyNumberFormat="1" applyFont="1" applyFill="1" applyBorder="1" applyAlignment="1">
      <x:alignment vertical="top" wrapText="1"/>
    </x:xf>
    <x:xf numFmtId="201" fontId="4" fillId="4" borderId="7" xfId="0" applyNumberFormat="1" applyFont="1" applyFill="1" applyBorder="1" applyAlignment="1">
      <x:alignment vertical="top" wrapText="1"/>
    </x:xf>
    <x:xf numFmtId="201" fontId="4" fillId="4" borderId="10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15" xfId="0" applyNumberFormat="1" applyFont="1" applyFill="1" applyBorder="1"/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15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horizontal="center" wrapText="1"/>
    </x:xf>
    <x:xf numFmtId="0" fontId="3" fillId="5" borderId="15" xfId="0" applyNumberFormat="1" applyFont="1" applyFill="1" applyBorder="1" applyAlignment="1">
      <x:alignment horizontal="center" wrapText="1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1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201" fontId="5" fillId="6" borderId="14" xfId="0" applyNumberFormat="1" applyFont="1" applyFill="1" applyBorder="1" applyAlignment="1">
      <x:alignment horizontal="center"/>
    </x:xf>
    <x:xf numFmtId="201" fontId="5" fillId="6" borderId="15" xfId="0" applyNumberFormat="1" applyFont="1" applyFill="1" applyBorder="1" applyAlignment="1">
      <x:alignment horizontal="center"/>
    </x:xf>
    <x:xf numFmtId="202" fontId="5" fillId="6" borderId="14" xfId="0" applyNumberFormat="1" applyFont="1" applyFill="1" applyBorder="1" applyAlignment="1">
      <x:alignment horizontal="center"/>
    </x:xf>
    <x:xf numFmtId="202" fontId="4" fillId="4" borderId="6" xfId="0" applyNumberFormat="1" applyFont="1" applyFill="1" applyBorder="1" applyAlignment="1">
      <x:alignment vertical="top" wrapText="1"/>
    </x:xf>
    <x:xf numFmtId="202" fontId="4" fillId="4" borderId="9" xfId="0" applyNumberFormat="1" applyFont="1" applyFill="1" applyBorder="1" applyAlignment="1">
      <x:alignment vertical="top" wrapText="1"/>
    </x:xf>
    <x:xf numFmtId="202" fontId="4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2E2"/>
        </x:patternFill>
      </x:fill>
    </x:dxf>
    <x:dxf>
      <x:font>
        <x:color rgb="FF2E7D32"/>
      </x:font>
      <x:fill>
        <x:patternFill patternType="solid">
          <x:bgColor rgb="FFE5F3E8"/>
        </x:patternFill>
      </x:fill>
    </x:dxf>
    <x:dxf>
      <x:font>
        <x:b/>
        <x:color rgb="FFB91C1C"/>
      </x:font>
      <x:fill>
        <x:patternFill patternType="solid">
          <x:bgColor rgb="FFFCE2E2"/>
        </x:patternFill>
      </x:fill>
    </x:dxf>
    <x:dxf>
      <x:font>
        <x:b/>
        <x:color rgb="FFB7791F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8f04e99754c5f" /><Relationship Type="http://schemas.openxmlformats.org/officeDocument/2006/relationships/theme" Target="/xl/theme/theme1.xml" Id="R7e2f41d6f0094a01" /><Relationship Type="http://schemas.openxmlformats.org/officeDocument/2006/relationships/sharedStrings" Target="/xl/sharedStrings.xml" Id="R71bae105322c4906" /><Relationship Type="http://schemas.openxmlformats.org/officeDocument/2006/relationships/worksheet" Target="/xl/worksheets/sheet1.xml" Id="R77919a6b81694a94" /><Relationship Type="http://schemas.openxmlformats.org/officeDocument/2006/relationships/worksheet" Target="/xl/worksheets/sheet2.xml" Id="R05ef6ecd69f84b91" /><Relationship Type="http://schemas.openxmlformats.org/officeDocument/2006/relationships/worksheet" Target="/xl/worksheets/sheet3.xml" Id="R537e8c551e2d4287" /><Relationship Type="http://schemas.openxmlformats.org/officeDocument/2006/relationships/worksheet" Target="/xl/worksheets/sheet4.xml" Id="Rf9f8616f0dd44352" /><Relationship Type="http://schemas.openxmlformats.org/officeDocument/2006/relationships/worksheet" Target="/xl/worksheets/sheet5.xml" Id="R3fce40ca1c914f93" /><Relationship Type="http://schemas.openxmlformats.org/officeDocument/2006/relationships/worksheet" Target="/xl/worksheets/sheet6.xml" Id="Rd3d3bf1cc4d94e27" /><Relationship Type="http://schemas.openxmlformats.org/officeDocument/2006/relationships/worksheet" Target="/xl/worksheets/sheet7.xml" Id="R68b0465da1be43cd" /><Relationship Type="http://schemas.microsoft.com/office/2017/10/relationships/person" Target="/xl/persons/person.xml" Id="R4becaf6097dc43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6520ea81e64d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Animals by Species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'Dashboard'!$A$34:$A$38</c:f>
              <c:strCache>
                <c:ptCount val="0"/>
              </c:strCache>
            </c:strRef>
          </c:cat>
          <c:val>
            <c:numRef>
              <c:f>'Dashboard'!$B$34:$B$38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31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6520ea81e64dd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BDE2892-7BC0-4775-89CC-3D11804CCC5D}"/>
</xltc:personList>
</file>

<file path=xl/tables/table1.xml><?xml version="1.0" encoding="utf-8"?>
<x:table xmlns:x="http://schemas.openxmlformats.org/spreadsheetml/2006/main" id="1" name="AnimalsTable" displayName="AnimalsTable" ref="A4:K104" headerRowCount="1">
  <x:tableColumns count="11">
    <x:tableColumn id="1" name="Animal ID"/>
    <x:tableColumn id="2" name="Name/Label"/>
    <x:tableColumn id="3" name="Species"/>
    <x:tableColumn id="4" name="Strain/Breed"/>
    <x:tableColumn id="5" name="Sex"/>
    <x:tableColumn id="6" name="Birth Date"/>
    <x:tableColumn id="7" name="Arrival Date"/>
    <x:tableColumn id="8" name="Protocol ID"/>
    <x:tableColumn id="9" name="Status"/>
    <x:tableColumn id="10" name="Baseline Weight (g)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otocolsTable" displayName="ProtocolsTable" ref="A4:I54" headerRowCount="1">
  <x:tableColumns count="9">
    <x:tableColumn id="1" name="Protocol ID"/>
    <x:tableColumn id="2" name="Protocol Name"/>
    <x:tableColumn id="3" name="Objective"/>
    <x:tableColumn id="4" name="Start Date"/>
    <x:tableColumn id="5" name="End Date"/>
    <x:tableColumn id="6" name="Observation Frequency"/>
    <x:tableColumn id="7" name="Responsible"/>
    <x:tableColumn id="8" name="Ethics/Approval Ref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ormalParametersTable" displayName="NormalParametersTable" ref="A4:J104" headerRowCount="1">
  <x:tableColumns count="10">
    <x:tableColumn id="1" name="Species"/>
    <x:tableColumn id="2" name="Protocol ID"/>
    <x:tableColumn id="3" name="Parameter"/>
    <x:tableColumn id="4" name="Unit"/>
    <x:tableColumn id="5" name="Min"/>
    <x:tableColumn id="6" name="Target"/>
    <x:tableColumn id="7" name="Max"/>
    <x:tableColumn id="8" name="Observation Method"/>
    <x:tableColumn id="9" name="Alert If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ailyObservationsTable" displayName="DailyObservationsTable" ref="A4:Q304" headerRowCount="1">
  <x:tableColumns count="17">
    <x:tableColumn id="1" name="Date"/>
    <x:tableColumn id="2" name="Time"/>
    <x:tableColumn id="3" name="Animal ID"/>
    <x:tableColumn id="4" name="Species"/>
    <x:tableColumn id="5" name="Protocol ID"/>
    <x:tableColumn id="6" name="Weight (g)"/>
    <x:tableColumn id="7" name="Food Intake"/>
    <x:tableColumn id="8" name="Water Intake"/>
    <x:tableColumn id="9" name="Temperature (C)"/>
    <x:tableColumn id="10" name="Behavior Score"/>
    <x:tableColumn id="11" name="Activity"/>
    <x:tableColumn id="12" name="Posture/Gait"/>
    <x:tableColumn id="13" name="Grooming/Coat"/>
    <x:tableColumn id="14" name="Respiration"/>
    <x:tableColumn id="15" name="Stool/Urine"/>
    <x:tableColumn id="16" name="Observer"/>
    <x:tableColumn id="17" name="Alert"/>
  </x:tableColumns>
  <x:tableStyleInfo name="TableStyleMedium2" showRowStripes="1"/>
</x:table>
</file>

<file path=xl/tables/table5.xml><?xml version="1.0" encoding="utf-8"?>
<x:table xmlns:x="http://schemas.openxmlformats.org/spreadsheetml/2006/main" id="5" name="EventsTable" displayName="EventsTable" ref="A4:J154" headerRowCount="1">
  <x:tableColumns count="10">
    <x:tableColumn id="1" name="Date"/>
    <x:tableColumn id="2" name="Time"/>
    <x:tableColumn id="3" name="Animal ID"/>
    <x:tableColumn id="4" name="Event Type"/>
    <x:tableColumn id="5" name="Description"/>
    <x:tableColumn id="6" name="Severity"/>
    <x:tableColumn id="7" name="Action Taken"/>
    <x:tableColumn id="8" name="Follow-up Date"/>
    <x:tableColumn id="9" name="Resolved?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6-24T08:34:29.619" personId="{3BDE2892-7BC0-4775-89CC-3D11804CCC5D}" id="{42EE3BA3-BAFF-4938-F088-BCE114CECAA9}">
    <xltc:text>Animal ID is the key used by formulas and dropdowns. Keep it unique.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4" dT="2026-06-24T08:34:29.726" personId="{3BDE2892-7BC0-4775-89CC-3D11804CCC5D}" id="{CF123B90-A10B-FEF0-A16A-545D9004AA70}">
    <xltc:text>Min/Target/Max values are examples. Replace them with validated ranges for your animal model and protocol.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5a23c04d6c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c79ea509ea541c7" /><Relationship Type="http://schemas.openxmlformats.org/officeDocument/2006/relationships/vmlDrawing" Target="/xl/drawings/vmldrawing.vml" Id="Rd139e9ce10b149c4" /><Relationship Type="http://schemas.microsoft.com/office/2017/10/relationships/threadedComment" Target="/xl/threadedcomments/threadedcomment.xml" Id="R39c704af129b4f18" /><Relationship Type="http://schemas.openxmlformats.org/officeDocument/2006/relationships/table" Target="/xl/tables/table1.xml" Id="Rd3b4491c475d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af6459f964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20a70fa8442444a2" /><Relationship Type="http://schemas.openxmlformats.org/officeDocument/2006/relationships/vmlDrawing" Target="/xl/drawings/vmldrawing2.vml" Id="R315eee5adc084616" /><Relationship Type="http://schemas.microsoft.com/office/2017/10/relationships/threadedComment" Target="/xl/threadedcomments/threadedcomment2.xml" Id="R79ebe337420d437b" /><Relationship Type="http://schemas.openxmlformats.org/officeDocument/2006/relationships/table" Target="/xl/tables/table3.xml" Id="R4bfe1db2ce5645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ec2e68a374e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7c0d2a5cc640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7.630001068115234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</x:cols>
  <x:sheetData>
    <x:row r="1" ht="19.200000762939453" hidden="0" customHeight="1">
      <x:c r="A1" s="4" t="str">
        <x:v>Animal Behavior Monitoring Dashboard</x:v>
      </x:c>
      <x:c r="B1" s="4" t="str">
        <x:v>Animal Behavior Monitoring Dashboard</x:v>
      </x:c>
      <x:c r="C1" s="4" t="str">
        <x:v>Animal Behavior Monitoring Dashboard</x:v>
      </x:c>
      <x:c r="D1" s="4" t="str">
        <x:v>Animal Behavior Monitoring Dashboard</x:v>
      </x:c>
      <x:c r="E1" s="4" t="str">
        <x:v>Animal Behavior Monitoring Dashboard</x:v>
      </x:c>
      <x:c r="F1" s="4" t="str">
        <x:v>Animal Behavior Monitoring Dashboard</x:v>
      </x:c>
      <x:c r="G1" s="4" t="str">
        <x:v>Animal Behavior Monitoring Dashboard</x:v>
      </x:c>
      <x:c r="H1" s="4" t="str">
        <x:v>Animal Behavior Monitoring Dashboard</x:v>
      </x:c>
      <x:c r="I1" s="4" t="str">
        <x:v>Animal Behavior Monitoring Dashboard</x:v>
      </x:c>
      <x:c r="J1" s="4" t="str">
        <x:v>Animal Behavior Monitoring Dashboard</x:v>
      </x:c>
    </x:row>
    <x:row r="2" ht="15" hidden="0" customHeight="1">
      <x:c r="A2" s="8" t="str">
        <x:v>High-level view generated from the registry, observations, and events.</x:v>
      </x:c>
      <x:c r="B2" s="8" t="str">
        <x:v>High-level view generated from the registry, observations, and events.</x:v>
      </x:c>
      <x:c r="C2" s="8" t="str">
        <x:v>High-level view generated from the registry, observations, and events.</x:v>
      </x:c>
      <x:c r="D2" s="8" t="str">
        <x:v>High-level view generated from the registry, observations, and events.</x:v>
      </x:c>
      <x:c r="E2" s="8" t="str">
        <x:v>High-level view generated from the registry, observations, and events.</x:v>
      </x:c>
      <x:c r="F2" s="8" t="str">
        <x:v>High-level view generated from the registry, observations, and events.</x:v>
      </x:c>
      <x:c r="G2" s="8" t="str">
        <x:v>High-level view generated from the registry, observations, and events.</x:v>
      </x:c>
      <x:c r="H2" s="8" t="str">
        <x:v>High-level view generated from the registry, observations, and events.</x:v>
      </x:c>
    </x:row>
    <x:row r="3"/>
    <x:row r="4" ht="15" hidden="0" customHeight="1">
      <x:c r="A4" s="85" t="str">
        <x:v>Registered Animals</x:v>
      </x:c>
      <x:c r="B4" s="93" t="n">
        <x:f>COUNTIF('Animals'!$A$5:$A$104,"&lt;&gt;")</x:f>
        <x:v>3</x:v>
      </x:c>
      <x:c r="D4" s="85" t="str">
        <x:v>Alerts To Check</x:v>
      </x:c>
      <x:c r="E4" s="93" t="n">
        <x:f>COUNTIF('Daily Observations'!$Q$5:$Q$304,"Check")</x:f>
        <x:v>0</x:v>
      </x:c>
    </x:row>
    <x:row r="5" ht="15" hidden="0" customHeight="1">
      <x:c r="A5" s="86" t="str">
        <x:v>Active Animals</x:v>
      </x:c>
      <x:c r="B5" s="94" t="n">
        <x:f>COUNTIF('Animals'!$I$5:$I$104,"Active")</x:f>
        <x:v>2</x:v>
      </x:c>
      <x:c r="D5" s="86" t="str">
        <x:v>Average Behavior Score</x:v>
      </x:c>
      <x:c r="E5" s="98" t="n">
        <x:f>IFERROR(AVERAGEIF('Daily Observations'!$J$5:$J$304,"&gt;=0"),"")</x:f>
        <x:v>1.3333333333333333</x:v>
      </x:c>
    </x:row>
    <x:row r="6" ht="15" hidden="0" customHeight="1">
      <x:c r="A6" s="86" t="str">
        <x:v>Observation Rows</x:v>
      </x:c>
      <x:c r="B6" s="94" t="n">
        <x:f>COUNTIF('Daily Observations'!$C$5:$C$304,"&lt;&gt;")</x:f>
        <x:v>3</x:v>
      </x:c>
      <x:c r="D6" s="86" t="str">
        <x:v>Latest Observation</x:v>
      </x:c>
      <x:c r="E6" s="96" t="n">
        <x:f>IFERROR(MAX('Daily Observations'!$A$5:$A$304),"")</x:f>
        <x:v>46195</x:v>
      </x:c>
    </x:row>
    <x:row r="7" ht="15" hidden="0" customHeight="1">
      <x:c r="A7" s="87" t="str">
        <x:v>Open Events</x:v>
      </x:c>
      <x:c r="B7" s="95" t="n">
        <x:f>COUNTIFS('Events &amp; Treatments'!$C$5:$C$154,"&lt;&gt;",'Events &amp; Treatments'!$I$5:$I$154,"No")</x:f>
        <x:v>1</x:v>
      </x:c>
      <x:c r="D7" s="87" t="str">
        <x:v>Latest Event</x:v>
      </x:c>
      <x:c r="E7" s="97" t="n">
        <x:f>IFERROR(MAX('Events &amp; Treatments'!$A$5:$A$154),"")</x:f>
        <x:v>46195</x:v>
      </x:c>
    </x:row>
    <x:row r="8"/>
    <x:row r="9"/>
    <x:row r="10" ht="15" hidden="0" customHeight="1">
      <x:c r="A10" s="19" t="str">
        <x:v>Animal ID</x:v>
      </x:c>
      <x:c r="B10" s="20" t="str">
        <x:v>Species</x:v>
      </x:c>
      <x:c r="C10" s="20" t="str">
        <x:v>Protocol</x:v>
      </x:c>
      <x:c r="D10" s="20" t="str">
        <x:v>Last Weight</x:v>
      </x:c>
      <x:c r="E10" s="21" t="str">
        <x:v>Last Behavior Score</x:v>
      </x:c>
      <x:c r="G10" s="19" t="str">
        <x:v>Date</x:v>
      </x:c>
      <x:c r="H10" s="20" t="str">
        <x:v>Animal ID</x:v>
      </x:c>
      <x:c r="I10" s="20" t="str">
        <x:v>Severity</x:v>
      </x:c>
      <x:c r="J10" s="21" t="str">
        <x:v>Event / Action</x:v>
      </x:c>
    </x:row>
    <x:row r="11" ht="15" hidden="0" customHeight="1">
      <x:c r="A11" s="42" t="str">
        <x:f>IF('Animals'!A5="","",'Animals'!A5)</x:f>
        <x:v>M-001</x:v>
      </x:c>
      <x:c r="B11" s="43" t="str">
        <x:f>IF('Animals'!A5="","",'Animals'!C5)</x:f>
        <x:v>Mouse</x:v>
      </x:c>
      <x:c r="C11" s="43" t="str">
        <x:f>IF('Animals'!A5="","",'Animals'!H5)</x:f>
        <x:v>P-001</x:v>
      </x:c>
      <x:c r="D11" s="70" t="n">
        <x:f>IF(A11="","",IFERROR(LOOKUP(2,1/('Daily Observations'!$C$5:$C$304=A11),'Daily Observations'!$F$5:$F$304),""))</x:f>
        <x:v>22.4</x:v>
      </x:c>
      <x:c r="E11" s="99" t="n">
        <x:f>IF(A11="","",IFERROR(LOOKUP(2,1/('Daily Observations'!$C$5:$C$304=A11),'Daily Observations'!$J$5:$J$304),""))</x:f>
        <x:v>1</x:v>
      </x:c>
      <x:c r="G11" s="73" t="n">
        <x:f>IF('Events &amp; Treatments'!A5="","",'Events &amp; Treatments'!A5)</x:f>
        <x:v>46195</x:v>
      </x:c>
      <x:c r="H11" s="43" t="str">
        <x:f>IF('Events &amp; Treatments'!A5="","",'Events &amp; Treatments'!C5)</x:f>
        <x:v>M-002</x:v>
      </x:c>
      <x:c r="I11" s="43" t="str">
        <x:f>IF('Events &amp; Treatments'!A5="","",'Events &amp; Treatments'!F5)</x:f>
        <x:v>Watch</x:v>
      </x:c>
      <x:c r="J11" s="44" t="str">
        <x:f>IF('Events &amp; Treatments'!E5="","",'Events &amp; Treatments'!E5&amp;" / "&amp;'Events &amp; Treatments'!G5)</x:f>
        <x:v>Reduced activity noted / Repeat observation in afternoon</x:v>
      </x:c>
    </x:row>
    <x:row r="12" ht="15" hidden="0" customHeight="1">
      <x:c r="A12" s="45" t="str">
        <x:f>IF('Animals'!A6="","",'Animals'!A6)</x:f>
        <x:v>M-002</x:v>
      </x:c>
      <x:c r="B12" s="46" t="str">
        <x:f>IF('Animals'!A6="","",'Animals'!C6)</x:f>
        <x:v>Mouse</x:v>
      </x:c>
      <x:c r="C12" s="46" t="str">
        <x:f>IF('Animals'!A6="","",'Animals'!H6)</x:f>
        <x:v>P-001</x:v>
      </x:c>
      <x:c r="D12" s="71" t="n">
        <x:f>IF(A12="","",IFERROR(LOOKUP(2,1/('Daily Observations'!$C$5:$C$304=A12),'Daily Observations'!$F$5:$F$304),""))</x:f>
        <x:v>24.1</x:v>
      </x:c>
      <x:c r="E12" s="100" t="n">
        <x:f>IF(A12="","",IFERROR(LOOKUP(2,1/('Daily Observations'!$C$5:$C$304=A12),'Daily Observations'!$J$5:$J$304),""))</x:f>
        <x:v>2</x:v>
      </x:c>
      <x:c r="G12" s="74" t="n">
        <x:f>IF('Events &amp; Treatments'!A6="","",'Events &amp; Treatments'!A6)</x:f>
        <x:v>46194</x:v>
      </x:c>
      <x:c r="H12" s="46" t="str">
        <x:f>IF('Events &amp; Treatments'!A6="","",'Events &amp; Treatments'!C6)</x:f>
        <x:v>R-001</x:v>
      </x:c>
      <x:c r="I12" s="46" t="str">
        <x:f>IF('Events &amp; Treatments'!A6="","",'Events &amp; Treatments'!F6)</x:f>
        <x:v>Normal</x:v>
      </x:c>
      <x:c r="J12" s="47" t="str">
        <x:f>IF('Events &amp; Treatments'!E6="","",'Events &amp; Treatments'!E6&amp;" / "&amp;'Events &amp; Treatments'!G6)</x:f>
        <x:v>Routine handling / No action required</x:v>
      </x:c>
    </x:row>
    <x:row r="13" ht="15" hidden="0" customHeight="1">
      <x:c r="A13" s="45" t="str">
        <x:f>IF('Animals'!A7="","",'Animals'!A7)</x:f>
        <x:v>R-001</x:v>
      </x:c>
      <x:c r="B13" s="46" t="str">
        <x:f>IF('Animals'!A7="","",'Animals'!C7)</x:f>
        <x:v>Rat</x:v>
      </x:c>
      <x:c r="C13" s="46" t="str">
        <x:f>IF('Animals'!A7="","",'Animals'!H7)</x:f>
        <x:v>P-002</x:v>
      </x:c>
      <x:c r="D13" s="71" t="n">
        <x:f>IF(A13="","",IFERROR(LOOKUP(2,1/('Daily Observations'!$C$5:$C$304=A13),'Daily Observations'!$F$5:$F$304),""))</x:f>
        <x:v>184.5</x:v>
      </x:c>
      <x:c r="E13" s="100" t="n">
        <x:f>IF(A13="","",IFERROR(LOOKUP(2,1/('Daily Observations'!$C$5:$C$304=A13),'Daily Observations'!$J$5:$J$304),""))</x:f>
        <x:v>1</x:v>
      </x:c>
      <x:c r="G13" s="74" t="str">
        <x:f>IF('Events &amp; Treatments'!A7="","",'Events &amp; Treatments'!A7)</x:f>
      </x:c>
      <x:c r="H13" s="46" t="str">
        <x:f>IF('Events &amp; Treatments'!A7="","",'Events &amp; Treatments'!C7)</x:f>
      </x:c>
      <x:c r="I13" s="46" t="str">
        <x:f>IF('Events &amp; Treatments'!A7="","",'Events &amp; Treatments'!F7)</x:f>
      </x:c>
      <x:c r="J13" s="47" t="str">
        <x:f>IF('Events &amp; Treatments'!E7="","",'Events &amp; Treatments'!E7&amp;" / "&amp;'Events &amp; Treatments'!G7)</x:f>
      </x:c>
    </x:row>
    <x:row r="14" ht="15" hidden="0" customHeight="1">
      <x:c r="A14" s="45" t="str">
        <x:f>IF('Animals'!A8="","",'Animals'!A8)</x:f>
      </x:c>
      <x:c r="B14" s="46" t="str">
        <x:f>IF('Animals'!A8="","",'Animals'!C8)</x:f>
      </x:c>
      <x:c r="C14" s="46" t="str">
        <x:f>IF('Animals'!A8="","",'Animals'!H8)</x:f>
      </x:c>
      <x:c r="D14" s="71" t="str">
        <x:f>IF(A14="","",IFERROR(LOOKUP(2,1/('Daily Observations'!$C$5:$C$304=A14),'Daily Observations'!$F$5:$F$304),""))</x:f>
      </x:c>
      <x:c r="E14" s="100" t="str">
        <x:f>IF(A14="","",IFERROR(LOOKUP(2,1/('Daily Observations'!$C$5:$C$304=A14),'Daily Observations'!$J$5:$J$304),""))</x:f>
      </x:c>
      <x:c r="G14" s="74" t="str">
        <x:f>IF('Events &amp; Treatments'!A8="","",'Events &amp; Treatments'!A8)</x:f>
      </x:c>
      <x:c r="H14" s="46" t="str">
        <x:f>IF('Events &amp; Treatments'!A8="","",'Events &amp; Treatments'!C8)</x:f>
      </x:c>
      <x:c r="I14" s="46" t="str">
        <x:f>IF('Events &amp; Treatments'!A8="","",'Events &amp; Treatments'!F8)</x:f>
      </x:c>
      <x:c r="J14" s="47" t="str">
        <x:f>IF('Events &amp; Treatments'!E8="","",'Events &amp; Treatments'!E8&amp;" / "&amp;'Events &amp; Treatments'!G8)</x:f>
      </x:c>
    </x:row>
    <x:row r="15" ht="15" hidden="0" customHeight="1">
      <x:c r="A15" s="45" t="str">
        <x:f>IF('Animals'!A9="","",'Animals'!A9)</x:f>
      </x:c>
      <x:c r="B15" s="46" t="str">
        <x:f>IF('Animals'!A9="","",'Animals'!C9)</x:f>
      </x:c>
      <x:c r="C15" s="46" t="str">
        <x:f>IF('Animals'!A9="","",'Animals'!H9)</x:f>
      </x:c>
      <x:c r="D15" s="71" t="str">
        <x:f>IF(A15="","",IFERROR(LOOKUP(2,1/('Daily Observations'!$C$5:$C$304=A15),'Daily Observations'!$F$5:$F$304),""))</x:f>
      </x:c>
      <x:c r="E15" s="100" t="str">
        <x:f>IF(A15="","",IFERROR(LOOKUP(2,1/('Daily Observations'!$C$5:$C$304=A15),'Daily Observations'!$J$5:$J$304),""))</x:f>
      </x:c>
      <x:c r="G15" s="74" t="str">
        <x:f>IF('Events &amp; Treatments'!A9="","",'Events &amp; Treatments'!A9)</x:f>
      </x:c>
      <x:c r="H15" s="46" t="str">
        <x:f>IF('Events &amp; Treatments'!A9="","",'Events &amp; Treatments'!C9)</x:f>
      </x:c>
      <x:c r="I15" s="46" t="str">
        <x:f>IF('Events &amp; Treatments'!A9="","",'Events &amp; Treatments'!F9)</x:f>
      </x:c>
      <x:c r="J15" s="47" t="str">
        <x:f>IF('Events &amp; Treatments'!E9="","",'Events &amp; Treatments'!E9&amp;" / "&amp;'Events &amp; Treatments'!G9)</x:f>
      </x:c>
    </x:row>
    <x:row r="16" ht="15" hidden="0" customHeight="1">
      <x:c r="A16" s="45" t="str">
        <x:f>IF('Animals'!A10="","",'Animals'!A10)</x:f>
      </x:c>
      <x:c r="B16" s="46" t="str">
        <x:f>IF('Animals'!A10="","",'Animals'!C10)</x:f>
      </x:c>
      <x:c r="C16" s="46" t="str">
        <x:f>IF('Animals'!A10="","",'Animals'!H10)</x:f>
      </x:c>
      <x:c r="D16" s="71" t="str">
        <x:f>IF(A16="","",IFERROR(LOOKUP(2,1/('Daily Observations'!$C$5:$C$304=A16),'Daily Observations'!$F$5:$F$304),""))</x:f>
      </x:c>
      <x:c r="E16" s="100" t="str">
        <x:f>IF(A16="","",IFERROR(LOOKUP(2,1/('Daily Observations'!$C$5:$C$304=A16),'Daily Observations'!$J$5:$J$304),""))</x:f>
      </x:c>
      <x:c r="G16" s="74" t="str">
        <x:f>IF('Events &amp; Treatments'!A10="","",'Events &amp; Treatments'!A10)</x:f>
      </x:c>
      <x:c r="H16" s="46" t="str">
        <x:f>IF('Events &amp; Treatments'!A10="","",'Events &amp; Treatments'!C10)</x:f>
      </x:c>
      <x:c r="I16" s="46" t="str">
        <x:f>IF('Events &amp; Treatments'!A10="","",'Events &amp; Treatments'!F10)</x:f>
      </x:c>
      <x:c r="J16" s="47" t="str">
        <x:f>IF('Events &amp; Treatments'!E10="","",'Events &amp; Treatments'!E10&amp;" / "&amp;'Events &amp; Treatments'!G10)</x:f>
      </x:c>
    </x:row>
    <x:row r="17" ht="15" hidden="0" customHeight="1">
      <x:c r="A17" s="45" t="str">
        <x:f>IF('Animals'!A11="","",'Animals'!A11)</x:f>
      </x:c>
      <x:c r="B17" s="46" t="str">
        <x:f>IF('Animals'!A11="","",'Animals'!C11)</x:f>
      </x:c>
      <x:c r="C17" s="46" t="str">
        <x:f>IF('Animals'!A11="","",'Animals'!H11)</x:f>
      </x:c>
      <x:c r="D17" s="71" t="str">
        <x:f>IF(A17="","",IFERROR(LOOKUP(2,1/('Daily Observations'!$C$5:$C$304=A17),'Daily Observations'!$F$5:$F$304),""))</x:f>
      </x:c>
      <x:c r="E17" s="100" t="str">
        <x:f>IF(A17="","",IFERROR(LOOKUP(2,1/('Daily Observations'!$C$5:$C$304=A17),'Daily Observations'!$J$5:$J$304),""))</x:f>
      </x:c>
      <x:c r="G17" s="74" t="str">
        <x:f>IF('Events &amp; Treatments'!A11="","",'Events &amp; Treatments'!A11)</x:f>
      </x:c>
      <x:c r="H17" s="46" t="str">
        <x:f>IF('Events &amp; Treatments'!A11="","",'Events &amp; Treatments'!C11)</x:f>
      </x:c>
      <x:c r="I17" s="46" t="str">
        <x:f>IF('Events &amp; Treatments'!A11="","",'Events &amp; Treatments'!F11)</x:f>
      </x:c>
      <x:c r="J17" s="47" t="str">
        <x:f>IF('Events &amp; Treatments'!E11="","",'Events &amp; Treatments'!E11&amp;" / "&amp;'Events &amp; Treatments'!G11)</x:f>
      </x:c>
    </x:row>
    <x:row r="18" ht="15" hidden="0" customHeight="1">
      <x:c r="A18" s="45" t="str">
        <x:f>IF('Animals'!A12="","",'Animals'!A12)</x:f>
      </x:c>
      <x:c r="B18" s="46" t="str">
        <x:f>IF('Animals'!A12="","",'Animals'!C12)</x:f>
      </x:c>
      <x:c r="C18" s="46" t="str">
        <x:f>IF('Animals'!A12="","",'Animals'!H12)</x:f>
      </x:c>
      <x:c r="D18" s="71" t="str">
        <x:f>IF(A18="","",IFERROR(LOOKUP(2,1/('Daily Observations'!$C$5:$C$304=A18),'Daily Observations'!$F$5:$F$304),""))</x:f>
      </x:c>
      <x:c r="E18" s="100" t="str">
        <x:f>IF(A18="","",IFERROR(LOOKUP(2,1/('Daily Observations'!$C$5:$C$304=A18),'Daily Observations'!$J$5:$J$304),""))</x:f>
      </x:c>
      <x:c r="G18" s="74" t="str">
        <x:f>IF('Events &amp; Treatments'!A12="","",'Events &amp; Treatments'!A12)</x:f>
      </x:c>
      <x:c r="H18" s="46" t="str">
        <x:f>IF('Events &amp; Treatments'!A12="","",'Events &amp; Treatments'!C12)</x:f>
      </x:c>
      <x:c r="I18" s="46" t="str">
        <x:f>IF('Events &amp; Treatments'!A12="","",'Events &amp; Treatments'!F12)</x:f>
      </x:c>
      <x:c r="J18" s="47" t="str">
        <x:f>IF('Events &amp; Treatments'!E12="","",'Events &amp; Treatments'!E12&amp;" / "&amp;'Events &amp; Treatments'!G12)</x:f>
      </x:c>
    </x:row>
    <x:row r="19" ht="15" hidden="0" customHeight="1">
      <x:c r="A19" s="45" t="str">
        <x:f>IF('Animals'!A13="","",'Animals'!A13)</x:f>
      </x:c>
      <x:c r="B19" s="46" t="str">
        <x:f>IF('Animals'!A13="","",'Animals'!C13)</x:f>
      </x:c>
      <x:c r="C19" s="46" t="str">
        <x:f>IF('Animals'!A13="","",'Animals'!H13)</x:f>
      </x:c>
      <x:c r="D19" s="71" t="str">
        <x:f>IF(A19="","",IFERROR(LOOKUP(2,1/('Daily Observations'!$C$5:$C$304=A19),'Daily Observations'!$F$5:$F$304),""))</x:f>
      </x:c>
      <x:c r="E19" s="100" t="str">
        <x:f>IF(A19="","",IFERROR(LOOKUP(2,1/('Daily Observations'!$C$5:$C$304=A19),'Daily Observations'!$J$5:$J$304),""))</x:f>
      </x:c>
      <x:c r="G19" s="74" t="str">
        <x:f>IF('Events &amp; Treatments'!A13="","",'Events &amp; Treatments'!A13)</x:f>
      </x:c>
      <x:c r="H19" s="46" t="str">
        <x:f>IF('Events &amp; Treatments'!A13="","",'Events &amp; Treatments'!C13)</x:f>
      </x:c>
      <x:c r="I19" s="46" t="str">
        <x:f>IF('Events &amp; Treatments'!A13="","",'Events &amp; Treatments'!F13)</x:f>
      </x:c>
      <x:c r="J19" s="47" t="str">
        <x:f>IF('Events &amp; Treatments'!E13="","",'Events &amp; Treatments'!E13&amp;" / "&amp;'Events &amp; Treatments'!G13)</x:f>
      </x:c>
    </x:row>
    <x:row r="20" ht="15" hidden="0" customHeight="1">
      <x:c r="A20" s="45" t="str">
        <x:f>IF('Animals'!A14="","",'Animals'!A14)</x:f>
      </x:c>
      <x:c r="B20" s="46" t="str">
        <x:f>IF('Animals'!A14="","",'Animals'!C14)</x:f>
      </x:c>
      <x:c r="C20" s="46" t="str">
        <x:f>IF('Animals'!A14="","",'Animals'!H14)</x:f>
      </x:c>
      <x:c r="D20" s="71" t="str">
        <x:f>IF(A20="","",IFERROR(LOOKUP(2,1/('Daily Observations'!$C$5:$C$304=A20),'Daily Observations'!$F$5:$F$304),""))</x:f>
      </x:c>
      <x:c r="E20" s="100" t="str">
        <x:f>IF(A20="","",IFERROR(LOOKUP(2,1/('Daily Observations'!$C$5:$C$304=A20),'Daily Observations'!$J$5:$J$304),""))</x:f>
      </x:c>
      <x:c r="G20" s="74" t="str">
        <x:f>IF('Events &amp; Treatments'!A14="","",'Events &amp; Treatments'!A14)</x:f>
      </x:c>
      <x:c r="H20" s="46" t="str">
        <x:f>IF('Events &amp; Treatments'!A14="","",'Events &amp; Treatments'!C14)</x:f>
      </x:c>
      <x:c r="I20" s="46" t="str">
        <x:f>IF('Events &amp; Treatments'!A14="","",'Events &amp; Treatments'!F14)</x:f>
      </x:c>
      <x:c r="J20" s="47" t="str">
        <x:f>IF('Events &amp; Treatments'!E14="","",'Events &amp; Treatments'!E14&amp;" / "&amp;'Events &amp; Treatments'!G14)</x:f>
      </x:c>
    </x:row>
    <x:row r="21" ht="15" hidden="0" customHeight="1">
      <x:c r="A21" s="45" t="str">
        <x:f>IF('Animals'!A15="","",'Animals'!A15)</x:f>
      </x:c>
      <x:c r="B21" s="46" t="str">
        <x:f>IF('Animals'!A15="","",'Animals'!C15)</x:f>
      </x:c>
      <x:c r="C21" s="46" t="str">
        <x:f>IF('Animals'!A15="","",'Animals'!H15)</x:f>
      </x:c>
      <x:c r="D21" s="71" t="str">
        <x:f>IF(A21="","",IFERROR(LOOKUP(2,1/('Daily Observations'!$C$5:$C$304=A21),'Daily Observations'!$F$5:$F$304),""))</x:f>
      </x:c>
      <x:c r="E21" s="100" t="str">
        <x:f>IF(A21="","",IFERROR(LOOKUP(2,1/('Daily Observations'!$C$5:$C$304=A21),'Daily Observations'!$J$5:$J$304),""))</x:f>
      </x:c>
      <x:c r="G21" s="74" t="str">
        <x:f>IF('Events &amp; Treatments'!A15="","",'Events &amp; Treatments'!A15)</x:f>
      </x:c>
      <x:c r="H21" s="46" t="str">
        <x:f>IF('Events &amp; Treatments'!A15="","",'Events &amp; Treatments'!C15)</x:f>
      </x:c>
      <x:c r="I21" s="46" t="str">
        <x:f>IF('Events &amp; Treatments'!A15="","",'Events &amp; Treatments'!F15)</x:f>
      </x:c>
      <x:c r="J21" s="47" t="str">
        <x:f>IF('Events &amp; Treatments'!E15="","",'Events &amp; Treatments'!E15&amp;" / "&amp;'Events &amp; Treatments'!G15)</x:f>
      </x:c>
    </x:row>
    <x:row r="22" ht="15" hidden="0" customHeight="1">
      <x:c r="A22" s="45" t="str">
        <x:f>IF('Animals'!A16="","",'Animals'!A16)</x:f>
      </x:c>
      <x:c r="B22" s="46" t="str">
        <x:f>IF('Animals'!A16="","",'Animals'!C16)</x:f>
      </x:c>
      <x:c r="C22" s="46" t="str">
        <x:f>IF('Animals'!A16="","",'Animals'!H16)</x:f>
      </x:c>
      <x:c r="D22" s="71" t="str">
        <x:f>IF(A22="","",IFERROR(LOOKUP(2,1/('Daily Observations'!$C$5:$C$304=A22),'Daily Observations'!$F$5:$F$304),""))</x:f>
      </x:c>
      <x:c r="E22" s="100" t="str">
        <x:f>IF(A22="","",IFERROR(LOOKUP(2,1/('Daily Observations'!$C$5:$C$304=A22),'Daily Observations'!$J$5:$J$304),""))</x:f>
      </x:c>
      <x:c r="G22" s="74" t="str">
        <x:f>IF('Events &amp; Treatments'!A16="","",'Events &amp; Treatments'!A16)</x:f>
      </x:c>
      <x:c r="H22" s="46" t="str">
        <x:f>IF('Events &amp; Treatments'!A16="","",'Events &amp; Treatments'!C16)</x:f>
      </x:c>
      <x:c r="I22" s="46" t="str">
        <x:f>IF('Events &amp; Treatments'!A16="","",'Events &amp; Treatments'!F16)</x:f>
      </x:c>
      <x:c r="J22" s="47" t="str">
        <x:f>IF('Events &amp; Treatments'!E16="","",'Events &amp; Treatments'!E16&amp;" / "&amp;'Events &amp; Treatments'!G16)</x:f>
      </x:c>
    </x:row>
    <x:row r="23" ht="15" hidden="0" customHeight="1">
      <x:c r="A23" s="45" t="str">
        <x:f>IF('Animals'!A17="","",'Animals'!A17)</x:f>
      </x:c>
      <x:c r="B23" s="46" t="str">
        <x:f>IF('Animals'!A17="","",'Animals'!C17)</x:f>
      </x:c>
      <x:c r="C23" s="46" t="str">
        <x:f>IF('Animals'!A17="","",'Animals'!H17)</x:f>
      </x:c>
      <x:c r="D23" s="71" t="str">
        <x:f>IF(A23="","",IFERROR(LOOKUP(2,1/('Daily Observations'!$C$5:$C$304=A23),'Daily Observations'!$F$5:$F$304),""))</x:f>
      </x:c>
      <x:c r="E23" s="100" t="str">
        <x:f>IF(A23="","",IFERROR(LOOKUP(2,1/('Daily Observations'!$C$5:$C$304=A23),'Daily Observations'!$J$5:$J$304),""))</x:f>
      </x:c>
      <x:c r="G23" s="74" t="str">
        <x:f>IF('Events &amp; Treatments'!A17="","",'Events &amp; Treatments'!A17)</x:f>
      </x:c>
      <x:c r="H23" s="46" t="str">
        <x:f>IF('Events &amp; Treatments'!A17="","",'Events &amp; Treatments'!C17)</x:f>
      </x:c>
      <x:c r="I23" s="46" t="str">
        <x:f>IF('Events &amp; Treatments'!A17="","",'Events &amp; Treatments'!F17)</x:f>
      </x:c>
      <x:c r="J23" s="47" t="str">
        <x:f>IF('Events &amp; Treatments'!E17="","",'Events &amp; Treatments'!E17&amp;" / "&amp;'Events &amp; Treatments'!G17)</x:f>
      </x:c>
    </x:row>
    <x:row r="24" ht="15" hidden="0" customHeight="1">
      <x:c r="A24" s="45" t="str">
        <x:f>IF('Animals'!A18="","",'Animals'!A18)</x:f>
      </x:c>
      <x:c r="B24" s="46" t="str">
        <x:f>IF('Animals'!A18="","",'Animals'!C18)</x:f>
      </x:c>
      <x:c r="C24" s="46" t="str">
        <x:f>IF('Animals'!A18="","",'Animals'!H18)</x:f>
      </x:c>
      <x:c r="D24" s="71" t="str">
        <x:f>IF(A24="","",IFERROR(LOOKUP(2,1/('Daily Observations'!$C$5:$C$304=A24),'Daily Observations'!$F$5:$F$304),""))</x:f>
      </x:c>
      <x:c r="E24" s="100" t="str">
        <x:f>IF(A24="","",IFERROR(LOOKUP(2,1/('Daily Observations'!$C$5:$C$304=A24),'Daily Observations'!$J$5:$J$304),""))</x:f>
      </x:c>
      <x:c r="G24" s="74" t="str">
        <x:f>IF('Events &amp; Treatments'!A18="","",'Events &amp; Treatments'!A18)</x:f>
      </x:c>
      <x:c r="H24" s="46" t="str">
        <x:f>IF('Events &amp; Treatments'!A18="","",'Events &amp; Treatments'!C18)</x:f>
      </x:c>
      <x:c r="I24" s="46" t="str">
        <x:f>IF('Events &amp; Treatments'!A18="","",'Events &amp; Treatments'!F18)</x:f>
      </x:c>
      <x:c r="J24" s="47" t="str">
        <x:f>IF('Events &amp; Treatments'!E18="","",'Events &amp; Treatments'!E18&amp;" / "&amp;'Events &amp; Treatments'!G18)</x:f>
      </x:c>
    </x:row>
    <x:row r="25" ht="15" hidden="0" customHeight="1">
      <x:c r="A25" s="45" t="str">
        <x:f>IF('Animals'!A19="","",'Animals'!A19)</x:f>
      </x:c>
      <x:c r="B25" s="46" t="str">
        <x:f>IF('Animals'!A19="","",'Animals'!C19)</x:f>
      </x:c>
      <x:c r="C25" s="46" t="str">
        <x:f>IF('Animals'!A19="","",'Animals'!H19)</x:f>
      </x:c>
      <x:c r="D25" s="71" t="str">
        <x:f>IF(A25="","",IFERROR(LOOKUP(2,1/('Daily Observations'!$C$5:$C$304=A25),'Daily Observations'!$F$5:$F$304),""))</x:f>
      </x:c>
      <x:c r="E25" s="100" t="str">
        <x:f>IF(A25="","",IFERROR(LOOKUP(2,1/('Daily Observations'!$C$5:$C$304=A25),'Daily Observations'!$J$5:$J$304),""))</x:f>
      </x:c>
      <x:c r="G25" s="75" t="str">
        <x:f>IF('Events &amp; Treatments'!A19="","",'Events &amp; Treatments'!A19)</x:f>
      </x:c>
      <x:c r="H25" s="49" t="str">
        <x:f>IF('Events &amp; Treatments'!A19="","",'Events &amp; Treatments'!C19)</x:f>
      </x:c>
      <x:c r="I25" s="49" t="str">
        <x:f>IF('Events &amp; Treatments'!A19="","",'Events &amp; Treatments'!F19)</x:f>
      </x:c>
      <x:c r="J25" s="50" t="str">
        <x:f>IF('Events &amp; Treatments'!E19="","",'Events &amp; Treatments'!E19&amp;" / "&amp;'Events &amp; Treatments'!G19)</x:f>
      </x:c>
    </x:row>
    <x:row r="26" ht="15" hidden="0" customHeight="1">
      <x:c r="A26" s="45" t="str">
        <x:f>IF('Animals'!A20="","",'Animals'!A20)</x:f>
      </x:c>
      <x:c r="B26" s="46" t="str">
        <x:f>IF('Animals'!A20="","",'Animals'!C20)</x:f>
      </x:c>
      <x:c r="C26" s="46" t="str">
        <x:f>IF('Animals'!A20="","",'Animals'!H20)</x:f>
      </x:c>
      <x:c r="D26" s="71" t="str">
        <x:f>IF(A26="","",IFERROR(LOOKUP(2,1/('Daily Observations'!$C$5:$C$304=A26),'Daily Observations'!$F$5:$F$304),""))</x:f>
      </x:c>
      <x:c r="E26" s="100" t="str">
        <x:f>IF(A26="","",IFERROR(LOOKUP(2,1/('Daily Observations'!$C$5:$C$304=A26),'Daily Observations'!$J$5:$J$304),""))</x:f>
      </x:c>
    </x:row>
    <x:row r="27" ht="15" hidden="0" customHeight="1">
      <x:c r="A27" s="45" t="str">
        <x:f>IF('Animals'!A21="","",'Animals'!A21)</x:f>
      </x:c>
      <x:c r="B27" s="46" t="str">
        <x:f>IF('Animals'!A21="","",'Animals'!C21)</x:f>
      </x:c>
      <x:c r="C27" s="46" t="str">
        <x:f>IF('Animals'!A21="","",'Animals'!H21)</x:f>
      </x:c>
      <x:c r="D27" s="71" t="str">
        <x:f>IF(A27="","",IFERROR(LOOKUP(2,1/('Daily Observations'!$C$5:$C$304=A27),'Daily Observations'!$F$5:$F$304),""))</x:f>
      </x:c>
      <x:c r="E27" s="100" t="str">
        <x:f>IF(A27="","",IFERROR(LOOKUP(2,1/('Daily Observations'!$C$5:$C$304=A27),'Daily Observations'!$J$5:$J$304),""))</x:f>
      </x:c>
    </x:row>
    <x:row r="28" ht="15" hidden="0" customHeight="1">
      <x:c r="A28" s="45" t="str">
        <x:f>IF('Animals'!A22="","",'Animals'!A22)</x:f>
      </x:c>
      <x:c r="B28" s="46" t="str">
        <x:f>IF('Animals'!A22="","",'Animals'!C22)</x:f>
      </x:c>
      <x:c r="C28" s="46" t="str">
        <x:f>IF('Animals'!A22="","",'Animals'!H22)</x:f>
      </x:c>
      <x:c r="D28" s="71" t="str">
        <x:f>IF(A28="","",IFERROR(LOOKUP(2,1/('Daily Observations'!$C$5:$C$304=A28),'Daily Observations'!$F$5:$F$304),""))</x:f>
      </x:c>
      <x:c r="E28" s="100" t="str">
        <x:f>IF(A28="","",IFERROR(LOOKUP(2,1/('Daily Observations'!$C$5:$C$304=A28),'Daily Observations'!$J$5:$J$304),""))</x:f>
      </x:c>
    </x:row>
    <x:row r="29" ht="15" hidden="0" customHeight="1">
      <x:c r="A29" s="45" t="str">
        <x:f>IF('Animals'!A23="","",'Animals'!A23)</x:f>
      </x:c>
      <x:c r="B29" s="46" t="str">
        <x:f>IF('Animals'!A23="","",'Animals'!C23)</x:f>
      </x:c>
      <x:c r="C29" s="46" t="str">
        <x:f>IF('Animals'!A23="","",'Animals'!H23)</x:f>
      </x:c>
      <x:c r="D29" s="71" t="str">
        <x:f>IF(A29="","",IFERROR(LOOKUP(2,1/('Daily Observations'!$C$5:$C$304=A29),'Daily Observations'!$F$5:$F$304),""))</x:f>
      </x:c>
      <x:c r="E29" s="100" t="str">
        <x:f>IF(A29="","",IFERROR(LOOKUP(2,1/('Daily Observations'!$C$5:$C$304=A29),'Daily Observations'!$J$5:$J$304),""))</x:f>
      </x:c>
    </x:row>
    <x:row r="30" ht="15" hidden="0" customHeight="1">
      <x:c r="A30" s="48" t="str">
        <x:f>IF('Animals'!A24="","",'Animals'!A24)</x:f>
      </x:c>
      <x:c r="B30" s="49" t="str">
        <x:f>IF('Animals'!A24="","",'Animals'!C24)</x:f>
      </x:c>
      <x:c r="C30" s="49" t="str">
        <x:f>IF('Animals'!A24="","",'Animals'!H24)</x:f>
      </x:c>
      <x:c r="D30" s="72" t="str">
        <x:f>IF(A30="","",IFERROR(LOOKUP(2,1/('Daily Observations'!$C$5:$C$304=A30),'Daily Observations'!$F$5:$F$304),""))</x:f>
      </x:c>
      <x:c r="E30" s="101" t="str">
        <x:f>IF(A30="","",IFERROR(LOOKUP(2,1/('Daily Observations'!$C$5:$C$304=A30),'Daily Observations'!$J$5:$J$304),""))</x:f>
      </x:c>
    </x:row>
    <x:row r="31"/>
    <x:row r="32"/>
    <x:row r="33" ht="15" hidden="0" customHeight="1">
      <x:c r="A33" s="19" t="str">
        <x:v>Species</x:v>
      </x:c>
      <x:c r="B33" s="21" t="str">
        <x:v>Count</x:v>
      </x:c>
    </x:row>
    <x:row r="34" ht="15" hidden="0" customHeight="1">
      <x:c r="A34" s="42" t="str">
        <x:v>Mouse</x:v>
      </x:c>
      <x:c r="B34" s="44" t="n">
        <x:f>COUNTIF('Animals'!$C$5:$C$104,A34)</x:f>
        <x:v>2</x:v>
      </x:c>
    </x:row>
    <x:row r="35" ht="15" hidden="0" customHeight="1">
      <x:c r="A35" s="45" t="str">
        <x:v>Rat</x:v>
      </x:c>
      <x:c r="B35" s="47" t="n">
        <x:f>COUNTIF('Animals'!$C$5:$C$104,A35)</x:f>
        <x:v>1</x:v>
      </x:c>
    </x:row>
    <x:row r="36" ht="15" hidden="0" customHeight="1">
      <x:c r="A36" s="45" t="str">
        <x:v>Zebrafish</x:v>
      </x:c>
      <x:c r="B36" s="47" t="n">
        <x:f>COUNTIF('Animals'!$C$5:$C$104,A36)</x:f>
        <x:v>0</x:v>
      </x:c>
    </x:row>
    <x:row r="37" ht="15" hidden="0" customHeight="1">
      <x:c r="A37" s="45" t="str">
        <x:v>Rabbit</x:v>
      </x:c>
      <x:c r="B37" s="47" t="n">
        <x:f>COUNTIF('Animals'!$C$5:$C$104,A37)</x:f>
        <x:v>0</x:v>
      </x:c>
    </x:row>
    <x:row r="38" ht="15" hidden="0" customHeight="1">
      <x:c r="A38" s="48" t="str">
        <x:v>Other</x:v>
      </x:c>
      <x:c r="B38" s="50" t="n">
        <x:f>COUNTIF('Animals'!$C$5:$C$104,A38)</x:f>
        <x:v>0</x:v>
      </x:c>
    </x:row>
  </x:sheetData>
  <x:mergeCells>
    <x:mergeCell ref="A1:J1"/>
    <x:mergeCell ref="A2:H2"/>
  </x:mergeCells>
  <x:pageMargins left="0.7" right="0.7" top="0.75" bottom="0.75" header="0.3" footer="0.3"/>
  <x:drawing xmlns:r="http://schemas.openxmlformats.org/officeDocument/2006/relationships" r:id="Re75a23c04d6c45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23.75" hidden="0" customWidth="1"/>
  </x:cols>
  <x:sheetData>
    <x:row r="1" ht="19.200000762939453" hidden="0" customHeight="1">
      <x:c r="A1" s="4" t="str">
        <x:v>Animal Registry</x:v>
      </x:c>
      <x:c r="B1" s="4" t="str">
        <x:v>Animal Registry</x:v>
      </x:c>
      <x:c r="C1" s="4" t="str">
        <x:v>Animal Registry</x:v>
      </x:c>
      <x:c r="D1" s="4" t="str">
        <x:v>Animal Registry</x:v>
      </x:c>
      <x:c r="E1" s="4" t="str">
        <x:v>Animal Registry</x:v>
      </x:c>
      <x:c r="F1" s="4" t="str">
        <x:v>Animal Registry</x:v>
      </x:c>
      <x:c r="G1" s="4" t="str">
        <x:v>Animal Registry</x:v>
      </x:c>
      <x:c r="H1" s="4" t="str">
        <x:v>Animal Registry</x:v>
      </x:c>
      <x:c r="I1" s="4" t="str">
        <x:v>Animal Registry</x:v>
      </x:c>
      <x:c r="J1" s="4" t="str">
        <x:v>Animal Registry</x:v>
      </x:c>
      <x:c r="K1" s="4" t="str">
        <x:v>Animal Registry</x:v>
      </x:c>
    </x:row>
    <x:row r="2" ht="15" hidden="0" customHeight="1">
      <x:c r="A2" s="8" t="str">
        <x:v>Register each animal once. Use Animal ID consistently across all other sheets.</x:v>
      </x:c>
      <x:c r="B2" s="8" t="str">
        <x:v>Register each animal once. Use Animal ID consistently across all other sheets.</x:v>
      </x:c>
      <x:c r="C2" s="8" t="str">
        <x:v>Register each animal once. Use Animal ID consistently across all other sheets.</x:v>
      </x:c>
      <x:c r="D2" s="8" t="str">
        <x:v>Register each animal once. Use Animal ID consistently across all other sheets.</x:v>
      </x:c>
      <x:c r="E2" s="8" t="str">
        <x:v>Register each animal once. Use Animal ID consistently across all other sheets.</x:v>
      </x:c>
      <x:c r="F2" s="8" t="str">
        <x:v>Register each animal once. Use Animal ID consistently across all other sheets.</x:v>
      </x:c>
      <x:c r="G2" s="8" t="str">
        <x:v>Register each animal once. Use Animal ID consistently across all other sheets.</x:v>
      </x:c>
      <x:c r="H2" s="8" t="str">
        <x:v>Register each animal once. Use Animal ID consistently across all other sheets.</x:v>
      </x:c>
    </x:row>
    <x:row r="3"/>
    <x:row r="4" ht="15" hidden="0" customHeight="1">
      <x:c r="A4" s="64" t="str">
        <x:v>Animal ID</x:v>
      </x:c>
      <x:c r="B4" s="65" t="str">
        <x:v>Name/Label</x:v>
      </x:c>
      <x:c r="C4" s="65" t="str">
        <x:v>Species</x:v>
      </x:c>
      <x:c r="D4" s="65" t="str">
        <x:v>Strain/Breed</x:v>
      </x:c>
      <x:c r="E4" s="65" t="str">
        <x:v>Sex</x:v>
      </x:c>
      <x:c r="F4" s="65" t="str">
        <x:v>Birth Date</x:v>
      </x:c>
      <x:c r="G4" s="65" t="str">
        <x:v>Arrival Date</x:v>
      </x:c>
      <x:c r="H4" s="65" t="str">
        <x:v>Protocol ID</x:v>
      </x:c>
      <x:c r="I4" s="65" t="str">
        <x:v>Status</x:v>
      </x:c>
      <x:c r="J4" s="65" t="str">
        <x:v>Baseline Weight (g)</x:v>
      </x:c>
      <x:c r="K4" s="66" t="str">
        <x:v>Notes</x:v>
      </x:c>
    </x:row>
    <x:row r="5" ht="15" hidden="0" customHeight="1">
      <x:c r="A5" s="42" t="str">
        <x:v>M-001</x:v>
      </x:c>
      <x:c r="B5" s="43" t="str">
        <x:v>Alpha</x:v>
      </x:c>
      <x:c r="C5" s="43" t="str">
        <x:v>Mouse</x:v>
      </x:c>
      <x:c r="D5" s="43" t="str">
        <x:v>C57BL/6</x:v>
      </x:c>
      <x:c r="E5" s="43" t="str">
        <x:v>Female</x:v>
      </x:c>
      <x:c r="F5" s="67" t="n">
        <x:v>46174</x:v>
      </x:c>
      <x:c r="G5" s="67" t="n">
        <x:v>46183</x:v>
      </x:c>
      <x:c r="H5" s="43" t="str">
        <x:v>P-001</x:v>
      </x:c>
      <x:c r="I5" s="43" t="str">
        <x:v>Active</x:v>
      </x:c>
      <x:c r="J5" s="70" t="n">
        <x:v>22.1</x:v>
      </x:c>
      <x:c r="K5" s="44" t="str">
        <x:v>Example row</x:v>
      </x:c>
    </x:row>
    <x:row r="6" ht="15" hidden="0" customHeight="1">
      <x:c r="A6" s="45" t="str">
        <x:v>M-002</x:v>
      </x:c>
      <x:c r="B6" s="46" t="str">
        <x:v>Beta</x:v>
      </x:c>
      <x:c r="C6" s="46" t="str">
        <x:v>Mouse</x:v>
      </x:c>
      <x:c r="D6" s="46" t="str">
        <x:v>C57BL/6</x:v>
      </x:c>
      <x:c r="E6" s="46" t="str">
        <x:v>Male</x:v>
      </x:c>
      <x:c r="F6" s="68" t="n">
        <x:v>46175</x:v>
      </x:c>
      <x:c r="G6" s="68" t="n">
        <x:v>46183</x:v>
      </x:c>
      <x:c r="H6" s="46" t="str">
        <x:v>P-001</x:v>
      </x:c>
      <x:c r="I6" s="46" t="str">
        <x:v>Observation</x:v>
      </x:c>
      <x:c r="J6" s="71" t="n">
        <x:v>24.3</x:v>
      </x:c>
      <x:c r="K6" s="47" t="str">
        <x:v>Example row</x:v>
      </x:c>
    </x:row>
    <x:row r="7" ht="15" hidden="0" customHeight="1">
      <x:c r="A7" s="45" t="str">
        <x:v>R-001</x:v>
      </x:c>
      <x:c r="B7" s="46" t="str">
        <x:v>Gamma</x:v>
      </x:c>
      <x:c r="C7" s="46" t="str">
        <x:v>Rat</x:v>
      </x:c>
      <x:c r="D7" s="46" t="str">
        <x:v>Sprague Dawley</x:v>
      </x:c>
      <x:c r="E7" s="46" t="str">
        <x:v>Female</x:v>
      </x:c>
      <x:c r="F7" s="68" t="n">
        <x:v>46162</x:v>
      </x:c>
      <x:c r="G7" s="68" t="n">
        <x:v>46185</x:v>
      </x:c>
      <x:c r="H7" s="46" t="str">
        <x:v>P-002</x:v>
      </x:c>
      <x:c r="I7" s="46" t="str">
        <x:v>Active</x:v>
      </x:c>
      <x:c r="J7" s="71" t="n">
        <x:v>185</x:v>
      </x:c>
      <x:c r="K7" s="47" t="str">
        <x:v>Example row</x:v>
      </x:c>
    </x:row>
    <x:row r="8" ht="15" hidden="0" customHeight="1">
      <x:c r="A8" s="45"/>
      <x:c r="B8" s="46"/>
      <x:c r="C8" s="46"/>
      <x:c r="D8" s="46"/>
      <x:c r="E8" s="46"/>
      <x:c r="F8" s="68"/>
      <x:c r="G8" s="68"/>
      <x:c r="H8" s="46"/>
      <x:c r="I8" s="46"/>
      <x:c r="J8" s="71"/>
      <x:c r="K8" s="47"/>
    </x:row>
    <x:row r="9" ht="15" hidden="0" customHeight="1">
      <x:c r="A9" s="45"/>
      <x:c r="B9" s="46"/>
      <x:c r="C9" s="46"/>
      <x:c r="D9" s="46"/>
      <x:c r="E9" s="46"/>
      <x:c r="F9" s="68"/>
      <x:c r="G9" s="68"/>
      <x:c r="H9" s="46"/>
      <x:c r="I9" s="46"/>
      <x:c r="J9" s="71"/>
      <x:c r="K9" s="47"/>
    </x:row>
    <x:row r="10" ht="15" hidden="0" customHeight="1">
      <x:c r="A10" s="45"/>
      <x:c r="B10" s="46"/>
      <x:c r="C10" s="46"/>
      <x:c r="D10" s="46"/>
      <x:c r="E10" s="46"/>
      <x:c r="F10" s="68"/>
      <x:c r="G10" s="68"/>
      <x:c r="H10" s="46"/>
      <x:c r="I10" s="46"/>
      <x:c r="J10" s="71"/>
      <x:c r="K10" s="47"/>
    </x:row>
    <x:row r="11" ht="15" hidden="0" customHeight="1">
      <x:c r="A11" s="45"/>
      <x:c r="B11" s="46"/>
      <x:c r="C11" s="46"/>
      <x:c r="D11" s="46"/>
      <x:c r="E11" s="46"/>
      <x:c r="F11" s="68"/>
      <x:c r="G11" s="68"/>
      <x:c r="H11" s="46"/>
      <x:c r="I11" s="46"/>
      <x:c r="J11" s="71"/>
      <x:c r="K11" s="47"/>
    </x:row>
    <x:row r="12" ht="15" hidden="0" customHeight="1">
      <x:c r="A12" s="45"/>
      <x:c r="B12" s="46"/>
      <x:c r="C12" s="46"/>
      <x:c r="D12" s="46"/>
      <x:c r="E12" s="46"/>
      <x:c r="F12" s="68"/>
      <x:c r="G12" s="68"/>
      <x:c r="H12" s="46"/>
      <x:c r="I12" s="46"/>
      <x:c r="J12" s="71"/>
      <x:c r="K12" s="47"/>
    </x:row>
    <x:row r="13" ht="15" hidden="0" customHeight="1">
      <x:c r="A13" s="45"/>
      <x:c r="B13" s="46"/>
      <x:c r="C13" s="46"/>
      <x:c r="D13" s="46"/>
      <x:c r="E13" s="46"/>
      <x:c r="F13" s="68"/>
      <x:c r="G13" s="68"/>
      <x:c r="H13" s="46"/>
      <x:c r="I13" s="46"/>
      <x:c r="J13" s="71"/>
      <x:c r="K13" s="47"/>
    </x:row>
    <x:row r="14" ht="15" hidden="0" customHeight="1">
      <x:c r="A14" s="45"/>
      <x:c r="B14" s="46"/>
      <x:c r="C14" s="46"/>
      <x:c r="D14" s="46"/>
      <x:c r="E14" s="46"/>
      <x:c r="F14" s="68"/>
      <x:c r="G14" s="68"/>
      <x:c r="H14" s="46"/>
      <x:c r="I14" s="46"/>
      <x:c r="J14" s="71"/>
      <x:c r="K14" s="47"/>
    </x:row>
    <x:row r="15" ht="15" hidden="0" customHeight="1">
      <x:c r="A15" s="45"/>
      <x:c r="B15" s="46"/>
      <x:c r="C15" s="46"/>
      <x:c r="D15" s="46"/>
      <x:c r="E15" s="46"/>
      <x:c r="F15" s="68"/>
      <x:c r="G15" s="68"/>
      <x:c r="H15" s="46"/>
      <x:c r="I15" s="46"/>
      <x:c r="J15" s="71"/>
      <x:c r="K15" s="47"/>
    </x:row>
    <x:row r="16" ht="15" hidden="0" customHeight="1">
      <x:c r="A16" s="45"/>
      <x:c r="B16" s="46"/>
      <x:c r="C16" s="46"/>
      <x:c r="D16" s="46"/>
      <x:c r="E16" s="46"/>
      <x:c r="F16" s="68"/>
      <x:c r="G16" s="68"/>
      <x:c r="H16" s="46"/>
      <x:c r="I16" s="46"/>
      <x:c r="J16" s="71"/>
      <x:c r="K16" s="47"/>
    </x:row>
    <x:row r="17" ht="15" hidden="0" customHeight="1">
      <x:c r="A17" s="45"/>
      <x:c r="B17" s="46"/>
      <x:c r="C17" s="46"/>
      <x:c r="D17" s="46"/>
      <x:c r="E17" s="46"/>
      <x:c r="F17" s="68"/>
      <x:c r="G17" s="68"/>
      <x:c r="H17" s="46"/>
      <x:c r="I17" s="46"/>
      <x:c r="J17" s="71"/>
      <x:c r="K17" s="47"/>
    </x:row>
    <x:row r="18" ht="15" hidden="0" customHeight="1">
      <x:c r="A18" s="45"/>
      <x:c r="B18" s="46"/>
      <x:c r="C18" s="46"/>
      <x:c r="D18" s="46"/>
      <x:c r="E18" s="46"/>
      <x:c r="F18" s="68"/>
      <x:c r="G18" s="68"/>
      <x:c r="H18" s="46"/>
      <x:c r="I18" s="46"/>
      <x:c r="J18" s="71"/>
      <x:c r="K18" s="47"/>
    </x:row>
    <x:row r="19" ht="15" hidden="0" customHeight="1">
      <x:c r="A19" s="45"/>
      <x:c r="B19" s="46"/>
      <x:c r="C19" s="46"/>
      <x:c r="D19" s="46"/>
      <x:c r="E19" s="46"/>
      <x:c r="F19" s="68"/>
      <x:c r="G19" s="68"/>
      <x:c r="H19" s="46"/>
      <x:c r="I19" s="46"/>
      <x:c r="J19" s="71"/>
      <x:c r="K19" s="47"/>
    </x:row>
    <x:row r="20" ht="15" hidden="0" customHeight="1">
      <x:c r="A20" s="45"/>
      <x:c r="B20" s="46"/>
      <x:c r="C20" s="46"/>
      <x:c r="D20" s="46"/>
      <x:c r="E20" s="46"/>
      <x:c r="F20" s="68"/>
      <x:c r="G20" s="68"/>
      <x:c r="H20" s="46"/>
      <x:c r="I20" s="46"/>
      <x:c r="J20" s="71"/>
      <x:c r="K20" s="47"/>
    </x:row>
    <x:row r="21" ht="15" hidden="0" customHeight="1">
      <x:c r="A21" s="45"/>
      <x:c r="B21" s="46"/>
      <x:c r="C21" s="46"/>
      <x:c r="D21" s="46"/>
      <x:c r="E21" s="46"/>
      <x:c r="F21" s="68"/>
      <x:c r="G21" s="68"/>
      <x:c r="H21" s="46"/>
      <x:c r="I21" s="46"/>
      <x:c r="J21" s="71"/>
      <x:c r="K21" s="47"/>
    </x:row>
    <x:row r="22" ht="15" hidden="0" customHeight="1">
      <x:c r="A22" s="45"/>
      <x:c r="B22" s="46"/>
      <x:c r="C22" s="46"/>
      <x:c r="D22" s="46"/>
      <x:c r="E22" s="46"/>
      <x:c r="F22" s="68"/>
      <x:c r="G22" s="68"/>
      <x:c r="H22" s="46"/>
      <x:c r="I22" s="46"/>
      <x:c r="J22" s="71"/>
      <x:c r="K22" s="47"/>
    </x:row>
    <x:row r="23" ht="15" hidden="0" customHeight="1">
      <x:c r="A23" s="45"/>
      <x:c r="B23" s="46"/>
      <x:c r="C23" s="46"/>
      <x:c r="D23" s="46"/>
      <x:c r="E23" s="46"/>
      <x:c r="F23" s="68"/>
      <x:c r="G23" s="68"/>
      <x:c r="H23" s="46"/>
      <x:c r="I23" s="46"/>
      <x:c r="J23" s="71"/>
      <x:c r="K23" s="47"/>
    </x:row>
    <x:row r="24" ht="15" hidden="0" customHeight="1">
      <x:c r="A24" s="45"/>
      <x:c r="B24" s="46"/>
      <x:c r="C24" s="46"/>
      <x:c r="D24" s="46"/>
      <x:c r="E24" s="46"/>
      <x:c r="F24" s="68"/>
      <x:c r="G24" s="68"/>
      <x:c r="H24" s="46"/>
      <x:c r="I24" s="46"/>
      <x:c r="J24" s="71"/>
      <x:c r="K24" s="47"/>
    </x:row>
    <x:row r="25" ht="15" hidden="0" customHeight="1">
      <x:c r="A25" s="45"/>
      <x:c r="B25" s="46"/>
      <x:c r="C25" s="46"/>
      <x:c r="D25" s="46"/>
      <x:c r="E25" s="46"/>
      <x:c r="F25" s="68"/>
      <x:c r="G25" s="68"/>
      <x:c r="H25" s="46"/>
      <x:c r="I25" s="46"/>
      <x:c r="J25" s="71"/>
      <x:c r="K25" s="47"/>
    </x:row>
    <x:row r="26" ht="15" hidden="0" customHeight="1">
      <x:c r="A26" s="45"/>
      <x:c r="B26" s="46"/>
      <x:c r="C26" s="46"/>
      <x:c r="D26" s="46"/>
      <x:c r="E26" s="46"/>
      <x:c r="F26" s="68"/>
      <x:c r="G26" s="68"/>
      <x:c r="H26" s="46"/>
      <x:c r="I26" s="46"/>
      <x:c r="J26" s="71"/>
      <x:c r="K26" s="47"/>
    </x:row>
    <x:row r="27" ht="15" hidden="0" customHeight="1">
      <x:c r="A27" s="45"/>
      <x:c r="B27" s="46"/>
      <x:c r="C27" s="46"/>
      <x:c r="D27" s="46"/>
      <x:c r="E27" s="46"/>
      <x:c r="F27" s="68"/>
      <x:c r="G27" s="68"/>
      <x:c r="H27" s="46"/>
      <x:c r="I27" s="46"/>
      <x:c r="J27" s="71"/>
      <x:c r="K27" s="47"/>
    </x:row>
    <x:row r="28" ht="15" hidden="0" customHeight="1">
      <x:c r="A28" s="45"/>
      <x:c r="B28" s="46"/>
      <x:c r="C28" s="46"/>
      <x:c r="D28" s="46"/>
      <x:c r="E28" s="46"/>
      <x:c r="F28" s="68"/>
      <x:c r="G28" s="68"/>
      <x:c r="H28" s="46"/>
      <x:c r="I28" s="46"/>
      <x:c r="J28" s="71"/>
      <x:c r="K28" s="47"/>
    </x:row>
    <x:row r="29" ht="15" hidden="0" customHeight="1">
      <x:c r="A29" s="45"/>
      <x:c r="B29" s="46"/>
      <x:c r="C29" s="46"/>
      <x:c r="D29" s="46"/>
      <x:c r="E29" s="46"/>
      <x:c r="F29" s="68"/>
      <x:c r="G29" s="68"/>
      <x:c r="H29" s="46"/>
      <x:c r="I29" s="46"/>
      <x:c r="J29" s="71"/>
      <x:c r="K29" s="47"/>
    </x:row>
    <x:row r="30" ht="15" hidden="0" customHeight="1">
      <x:c r="A30" s="45"/>
      <x:c r="B30" s="46"/>
      <x:c r="C30" s="46"/>
      <x:c r="D30" s="46"/>
      <x:c r="E30" s="46"/>
      <x:c r="F30" s="68"/>
      <x:c r="G30" s="68"/>
      <x:c r="H30" s="46"/>
      <x:c r="I30" s="46"/>
      <x:c r="J30" s="71"/>
      <x:c r="K30" s="47"/>
    </x:row>
    <x:row r="31" ht="15" hidden="0" customHeight="1">
      <x:c r="A31" s="45"/>
      <x:c r="B31" s="46"/>
      <x:c r="C31" s="46"/>
      <x:c r="D31" s="46"/>
      <x:c r="E31" s="46"/>
      <x:c r="F31" s="68"/>
      <x:c r="G31" s="68"/>
      <x:c r="H31" s="46"/>
      <x:c r="I31" s="46"/>
      <x:c r="J31" s="71"/>
      <x:c r="K31" s="47"/>
    </x:row>
    <x:row r="32" ht="15" hidden="0" customHeight="1">
      <x:c r="A32" s="45"/>
      <x:c r="B32" s="46"/>
      <x:c r="C32" s="46"/>
      <x:c r="D32" s="46"/>
      <x:c r="E32" s="46"/>
      <x:c r="F32" s="68"/>
      <x:c r="G32" s="68"/>
      <x:c r="H32" s="46"/>
      <x:c r="I32" s="46"/>
      <x:c r="J32" s="71"/>
      <x:c r="K32" s="47"/>
    </x:row>
    <x:row r="33" ht="15" hidden="0" customHeight="1">
      <x:c r="A33" s="45"/>
      <x:c r="B33" s="46"/>
      <x:c r="C33" s="46"/>
      <x:c r="D33" s="46"/>
      <x:c r="E33" s="46"/>
      <x:c r="F33" s="68"/>
      <x:c r="G33" s="68"/>
      <x:c r="H33" s="46"/>
      <x:c r="I33" s="46"/>
      <x:c r="J33" s="71"/>
      <x:c r="K33" s="47"/>
    </x:row>
    <x:row r="34" ht="15" hidden="0" customHeight="1">
      <x:c r="A34" s="45"/>
      <x:c r="B34" s="46"/>
      <x:c r="C34" s="46"/>
      <x:c r="D34" s="46"/>
      <x:c r="E34" s="46"/>
      <x:c r="F34" s="68"/>
      <x:c r="G34" s="68"/>
      <x:c r="H34" s="46"/>
      <x:c r="I34" s="46"/>
      <x:c r="J34" s="71"/>
      <x:c r="K34" s="47"/>
    </x:row>
    <x:row r="35" ht="15" hidden="0" customHeight="1">
      <x:c r="A35" s="45"/>
      <x:c r="B35" s="46"/>
      <x:c r="C35" s="46"/>
      <x:c r="D35" s="46"/>
      <x:c r="E35" s="46"/>
      <x:c r="F35" s="68"/>
      <x:c r="G35" s="68"/>
      <x:c r="H35" s="46"/>
      <x:c r="I35" s="46"/>
      <x:c r="J35" s="71"/>
      <x:c r="K35" s="47"/>
    </x:row>
    <x:row r="36" ht="15" hidden="0" customHeight="1">
      <x:c r="A36" s="45"/>
      <x:c r="B36" s="46"/>
      <x:c r="C36" s="46"/>
      <x:c r="D36" s="46"/>
      <x:c r="E36" s="46"/>
      <x:c r="F36" s="68"/>
      <x:c r="G36" s="68"/>
      <x:c r="H36" s="46"/>
      <x:c r="I36" s="46"/>
      <x:c r="J36" s="71"/>
      <x:c r="K36" s="47"/>
    </x:row>
    <x:row r="37" ht="15" hidden="0" customHeight="1">
      <x:c r="A37" s="45"/>
      <x:c r="B37" s="46"/>
      <x:c r="C37" s="46"/>
      <x:c r="D37" s="46"/>
      <x:c r="E37" s="46"/>
      <x:c r="F37" s="68"/>
      <x:c r="G37" s="68"/>
      <x:c r="H37" s="46"/>
      <x:c r="I37" s="46"/>
      <x:c r="J37" s="71"/>
      <x:c r="K37" s="47"/>
    </x:row>
    <x:row r="38" ht="15" hidden="0" customHeight="1">
      <x:c r="A38" s="45"/>
      <x:c r="B38" s="46"/>
      <x:c r="C38" s="46"/>
      <x:c r="D38" s="46"/>
      <x:c r="E38" s="46"/>
      <x:c r="F38" s="68"/>
      <x:c r="G38" s="68"/>
      <x:c r="H38" s="46"/>
      <x:c r="I38" s="46"/>
      <x:c r="J38" s="71"/>
      <x:c r="K38" s="47"/>
    </x:row>
    <x:row r="39" ht="15" hidden="0" customHeight="1">
      <x:c r="A39" s="45"/>
      <x:c r="B39" s="46"/>
      <x:c r="C39" s="46"/>
      <x:c r="D39" s="46"/>
      <x:c r="E39" s="46"/>
      <x:c r="F39" s="68"/>
      <x:c r="G39" s="68"/>
      <x:c r="H39" s="46"/>
      <x:c r="I39" s="46"/>
      <x:c r="J39" s="71"/>
      <x:c r="K39" s="47"/>
    </x:row>
    <x:row r="40" ht="15" hidden="0" customHeight="1">
      <x:c r="A40" s="45"/>
      <x:c r="B40" s="46"/>
      <x:c r="C40" s="46"/>
      <x:c r="D40" s="46"/>
      <x:c r="E40" s="46"/>
      <x:c r="F40" s="68"/>
      <x:c r="G40" s="68"/>
      <x:c r="H40" s="46"/>
      <x:c r="I40" s="46"/>
      <x:c r="J40" s="71"/>
      <x:c r="K40" s="47"/>
    </x:row>
    <x:row r="41" ht="15" hidden="0" customHeight="1">
      <x:c r="A41" s="45"/>
      <x:c r="B41" s="46"/>
      <x:c r="C41" s="46"/>
      <x:c r="D41" s="46"/>
      <x:c r="E41" s="46"/>
      <x:c r="F41" s="68"/>
      <x:c r="G41" s="68"/>
      <x:c r="H41" s="46"/>
      <x:c r="I41" s="46"/>
      <x:c r="J41" s="71"/>
      <x:c r="K41" s="47"/>
    </x:row>
    <x:row r="42" ht="15" hidden="0" customHeight="1">
      <x:c r="A42" s="45"/>
      <x:c r="B42" s="46"/>
      <x:c r="C42" s="46"/>
      <x:c r="D42" s="46"/>
      <x:c r="E42" s="46"/>
      <x:c r="F42" s="68"/>
      <x:c r="G42" s="68"/>
      <x:c r="H42" s="46"/>
      <x:c r="I42" s="46"/>
      <x:c r="J42" s="71"/>
      <x:c r="K42" s="47"/>
    </x:row>
    <x:row r="43" ht="15" hidden="0" customHeight="1">
      <x:c r="A43" s="45"/>
      <x:c r="B43" s="46"/>
      <x:c r="C43" s="46"/>
      <x:c r="D43" s="46"/>
      <x:c r="E43" s="46"/>
      <x:c r="F43" s="68"/>
      <x:c r="G43" s="68"/>
      <x:c r="H43" s="46"/>
      <x:c r="I43" s="46"/>
      <x:c r="J43" s="71"/>
      <x:c r="K43" s="47"/>
    </x:row>
    <x:row r="44" ht="15" hidden="0" customHeight="1">
      <x:c r="A44" s="45"/>
      <x:c r="B44" s="46"/>
      <x:c r="C44" s="46"/>
      <x:c r="D44" s="46"/>
      <x:c r="E44" s="46"/>
      <x:c r="F44" s="68"/>
      <x:c r="G44" s="68"/>
      <x:c r="H44" s="46"/>
      <x:c r="I44" s="46"/>
      <x:c r="J44" s="71"/>
      <x:c r="K44" s="47"/>
    </x:row>
    <x:row r="45" ht="15" hidden="0" customHeight="1">
      <x:c r="A45" s="45"/>
      <x:c r="B45" s="46"/>
      <x:c r="C45" s="46"/>
      <x:c r="D45" s="46"/>
      <x:c r="E45" s="46"/>
      <x:c r="F45" s="68"/>
      <x:c r="G45" s="68"/>
      <x:c r="H45" s="46"/>
      <x:c r="I45" s="46"/>
      <x:c r="J45" s="71"/>
      <x:c r="K45" s="47"/>
    </x:row>
    <x:row r="46" ht="15" hidden="0" customHeight="1">
      <x:c r="A46" s="45"/>
      <x:c r="B46" s="46"/>
      <x:c r="C46" s="46"/>
      <x:c r="D46" s="46"/>
      <x:c r="E46" s="46"/>
      <x:c r="F46" s="68"/>
      <x:c r="G46" s="68"/>
      <x:c r="H46" s="46"/>
      <x:c r="I46" s="46"/>
      <x:c r="J46" s="71"/>
      <x:c r="K46" s="47"/>
    </x:row>
    <x:row r="47" ht="15" hidden="0" customHeight="1">
      <x:c r="A47" s="45"/>
      <x:c r="B47" s="46"/>
      <x:c r="C47" s="46"/>
      <x:c r="D47" s="46"/>
      <x:c r="E47" s="46"/>
      <x:c r="F47" s="68"/>
      <x:c r="G47" s="68"/>
      <x:c r="H47" s="46"/>
      <x:c r="I47" s="46"/>
      <x:c r="J47" s="71"/>
      <x:c r="K47" s="47"/>
    </x:row>
    <x:row r="48" ht="15" hidden="0" customHeight="1">
      <x:c r="A48" s="45"/>
      <x:c r="B48" s="46"/>
      <x:c r="C48" s="46"/>
      <x:c r="D48" s="46"/>
      <x:c r="E48" s="46"/>
      <x:c r="F48" s="68"/>
      <x:c r="G48" s="68"/>
      <x:c r="H48" s="46"/>
      <x:c r="I48" s="46"/>
      <x:c r="J48" s="71"/>
      <x:c r="K48" s="47"/>
    </x:row>
    <x:row r="49" ht="15" hidden="0" customHeight="1">
      <x:c r="A49" s="45"/>
      <x:c r="B49" s="46"/>
      <x:c r="C49" s="46"/>
      <x:c r="D49" s="46"/>
      <x:c r="E49" s="46"/>
      <x:c r="F49" s="68"/>
      <x:c r="G49" s="68"/>
      <x:c r="H49" s="46"/>
      <x:c r="I49" s="46"/>
      <x:c r="J49" s="71"/>
      <x:c r="K49" s="47"/>
    </x:row>
    <x:row r="50" ht="15" hidden="0" customHeight="1">
      <x:c r="A50" s="45"/>
      <x:c r="B50" s="46"/>
      <x:c r="C50" s="46"/>
      <x:c r="D50" s="46"/>
      <x:c r="E50" s="46"/>
      <x:c r="F50" s="68"/>
      <x:c r="G50" s="68"/>
      <x:c r="H50" s="46"/>
      <x:c r="I50" s="46"/>
      <x:c r="J50" s="71"/>
      <x:c r="K50" s="47"/>
    </x:row>
    <x:row r="51" ht="15" hidden="0" customHeight="1">
      <x:c r="A51" s="45"/>
      <x:c r="B51" s="46"/>
      <x:c r="C51" s="46"/>
      <x:c r="D51" s="46"/>
      <x:c r="E51" s="46"/>
      <x:c r="F51" s="68"/>
      <x:c r="G51" s="68"/>
      <x:c r="H51" s="46"/>
      <x:c r="I51" s="46"/>
      <x:c r="J51" s="71"/>
      <x:c r="K51" s="47"/>
    </x:row>
    <x:row r="52" ht="15" hidden="0" customHeight="1">
      <x:c r="A52" s="45"/>
      <x:c r="B52" s="46"/>
      <x:c r="C52" s="46"/>
      <x:c r="D52" s="46"/>
      <x:c r="E52" s="46"/>
      <x:c r="F52" s="68"/>
      <x:c r="G52" s="68"/>
      <x:c r="H52" s="46"/>
      <x:c r="I52" s="46"/>
      <x:c r="J52" s="71"/>
      <x:c r="K52" s="47"/>
    </x:row>
    <x:row r="53" ht="15" hidden="0" customHeight="1">
      <x:c r="A53" s="45"/>
      <x:c r="B53" s="46"/>
      <x:c r="C53" s="46"/>
      <x:c r="D53" s="46"/>
      <x:c r="E53" s="46"/>
      <x:c r="F53" s="68"/>
      <x:c r="G53" s="68"/>
      <x:c r="H53" s="46"/>
      <x:c r="I53" s="46"/>
      <x:c r="J53" s="71"/>
      <x:c r="K53" s="47"/>
    </x:row>
    <x:row r="54" ht="15" hidden="0" customHeight="1">
      <x:c r="A54" s="45"/>
      <x:c r="B54" s="46"/>
      <x:c r="C54" s="46"/>
      <x:c r="D54" s="46"/>
      <x:c r="E54" s="46"/>
      <x:c r="F54" s="68"/>
      <x:c r="G54" s="68"/>
      <x:c r="H54" s="46"/>
      <x:c r="I54" s="46"/>
      <x:c r="J54" s="71"/>
      <x:c r="K54" s="47"/>
    </x:row>
    <x:row r="55" ht="15" hidden="0" customHeight="1">
      <x:c r="A55" s="45"/>
      <x:c r="B55" s="46"/>
      <x:c r="C55" s="46"/>
      <x:c r="D55" s="46"/>
      <x:c r="E55" s="46"/>
      <x:c r="F55" s="68"/>
      <x:c r="G55" s="68"/>
      <x:c r="H55" s="46"/>
      <x:c r="I55" s="46"/>
      <x:c r="J55" s="71"/>
      <x:c r="K55" s="47"/>
    </x:row>
    <x:row r="56" ht="15" hidden="0" customHeight="1">
      <x:c r="A56" s="45"/>
      <x:c r="B56" s="46"/>
      <x:c r="C56" s="46"/>
      <x:c r="D56" s="46"/>
      <x:c r="E56" s="46"/>
      <x:c r="F56" s="68"/>
      <x:c r="G56" s="68"/>
      <x:c r="H56" s="46"/>
      <x:c r="I56" s="46"/>
      <x:c r="J56" s="71"/>
      <x:c r="K56" s="47"/>
    </x:row>
    <x:row r="57" ht="15" hidden="0" customHeight="1">
      <x:c r="A57" s="45"/>
      <x:c r="B57" s="46"/>
      <x:c r="C57" s="46"/>
      <x:c r="D57" s="46"/>
      <x:c r="E57" s="46"/>
      <x:c r="F57" s="68"/>
      <x:c r="G57" s="68"/>
      <x:c r="H57" s="46"/>
      <x:c r="I57" s="46"/>
      <x:c r="J57" s="71"/>
      <x:c r="K57" s="47"/>
    </x:row>
    <x:row r="58" ht="15" hidden="0" customHeight="1">
      <x:c r="A58" s="45"/>
      <x:c r="B58" s="46"/>
      <x:c r="C58" s="46"/>
      <x:c r="D58" s="46"/>
      <x:c r="E58" s="46"/>
      <x:c r="F58" s="68"/>
      <x:c r="G58" s="68"/>
      <x:c r="H58" s="46"/>
      <x:c r="I58" s="46"/>
      <x:c r="J58" s="71"/>
      <x:c r="K58" s="47"/>
    </x:row>
    <x:row r="59" ht="15" hidden="0" customHeight="1">
      <x:c r="A59" s="45"/>
      <x:c r="B59" s="46"/>
      <x:c r="C59" s="46"/>
      <x:c r="D59" s="46"/>
      <x:c r="E59" s="46"/>
      <x:c r="F59" s="68"/>
      <x:c r="G59" s="68"/>
      <x:c r="H59" s="46"/>
      <x:c r="I59" s="46"/>
      <x:c r="J59" s="71"/>
      <x:c r="K59" s="47"/>
    </x:row>
    <x:row r="60" ht="15" hidden="0" customHeight="1">
      <x:c r="A60" s="45"/>
      <x:c r="B60" s="46"/>
      <x:c r="C60" s="46"/>
      <x:c r="D60" s="46"/>
      <x:c r="E60" s="46"/>
      <x:c r="F60" s="68"/>
      <x:c r="G60" s="68"/>
      <x:c r="H60" s="46"/>
      <x:c r="I60" s="46"/>
      <x:c r="J60" s="71"/>
      <x:c r="K60" s="47"/>
    </x:row>
    <x:row r="61" ht="15" hidden="0" customHeight="1">
      <x:c r="A61" s="45"/>
      <x:c r="B61" s="46"/>
      <x:c r="C61" s="46"/>
      <x:c r="D61" s="46"/>
      <x:c r="E61" s="46"/>
      <x:c r="F61" s="68"/>
      <x:c r="G61" s="68"/>
      <x:c r="H61" s="46"/>
      <x:c r="I61" s="46"/>
      <x:c r="J61" s="71"/>
      <x:c r="K61" s="47"/>
    </x:row>
    <x:row r="62" ht="15" hidden="0" customHeight="1">
      <x:c r="A62" s="45"/>
      <x:c r="B62" s="46"/>
      <x:c r="C62" s="46"/>
      <x:c r="D62" s="46"/>
      <x:c r="E62" s="46"/>
      <x:c r="F62" s="68"/>
      <x:c r="G62" s="68"/>
      <x:c r="H62" s="46"/>
      <x:c r="I62" s="46"/>
      <x:c r="J62" s="71"/>
      <x:c r="K62" s="47"/>
    </x:row>
    <x:row r="63" ht="15" hidden="0" customHeight="1">
      <x:c r="A63" s="45"/>
      <x:c r="B63" s="46"/>
      <x:c r="C63" s="46"/>
      <x:c r="D63" s="46"/>
      <x:c r="E63" s="46"/>
      <x:c r="F63" s="68"/>
      <x:c r="G63" s="68"/>
      <x:c r="H63" s="46"/>
      <x:c r="I63" s="46"/>
      <x:c r="J63" s="71"/>
      <x:c r="K63" s="47"/>
    </x:row>
    <x:row r="64" ht="15" hidden="0" customHeight="1">
      <x:c r="A64" s="45"/>
      <x:c r="B64" s="46"/>
      <x:c r="C64" s="46"/>
      <x:c r="D64" s="46"/>
      <x:c r="E64" s="46"/>
      <x:c r="F64" s="68"/>
      <x:c r="G64" s="68"/>
      <x:c r="H64" s="46"/>
      <x:c r="I64" s="46"/>
      <x:c r="J64" s="71"/>
      <x:c r="K64" s="47"/>
    </x:row>
    <x:row r="65" ht="15" hidden="0" customHeight="1">
      <x:c r="A65" s="45"/>
      <x:c r="B65" s="46"/>
      <x:c r="C65" s="46"/>
      <x:c r="D65" s="46"/>
      <x:c r="E65" s="46"/>
      <x:c r="F65" s="68"/>
      <x:c r="G65" s="68"/>
      <x:c r="H65" s="46"/>
      <x:c r="I65" s="46"/>
      <x:c r="J65" s="71"/>
      <x:c r="K65" s="47"/>
    </x:row>
    <x:row r="66" ht="15" hidden="0" customHeight="1">
      <x:c r="A66" s="45"/>
      <x:c r="B66" s="46"/>
      <x:c r="C66" s="46"/>
      <x:c r="D66" s="46"/>
      <x:c r="E66" s="46"/>
      <x:c r="F66" s="68"/>
      <x:c r="G66" s="68"/>
      <x:c r="H66" s="46"/>
      <x:c r="I66" s="46"/>
      <x:c r="J66" s="71"/>
      <x:c r="K66" s="47"/>
    </x:row>
    <x:row r="67" ht="15" hidden="0" customHeight="1">
      <x:c r="A67" s="45"/>
      <x:c r="B67" s="46"/>
      <x:c r="C67" s="46"/>
      <x:c r="D67" s="46"/>
      <x:c r="E67" s="46"/>
      <x:c r="F67" s="68"/>
      <x:c r="G67" s="68"/>
      <x:c r="H67" s="46"/>
      <x:c r="I67" s="46"/>
      <x:c r="J67" s="71"/>
      <x:c r="K67" s="47"/>
    </x:row>
    <x:row r="68" ht="15" hidden="0" customHeight="1">
      <x:c r="A68" s="45"/>
      <x:c r="B68" s="46"/>
      <x:c r="C68" s="46"/>
      <x:c r="D68" s="46"/>
      <x:c r="E68" s="46"/>
      <x:c r="F68" s="68"/>
      <x:c r="G68" s="68"/>
      <x:c r="H68" s="46"/>
      <x:c r="I68" s="46"/>
      <x:c r="J68" s="71"/>
      <x:c r="K68" s="47"/>
    </x:row>
    <x:row r="69" ht="15" hidden="0" customHeight="1">
      <x:c r="A69" s="45"/>
      <x:c r="B69" s="46"/>
      <x:c r="C69" s="46"/>
      <x:c r="D69" s="46"/>
      <x:c r="E69" s="46"/>
      <x:c r="F69" s="68"/>
      <x:c r="G69" s="68"/>
      <x:c r="H69" s="46"/>
      <x:c r="I69" s="46"/>
      <x:c r="J69" s="71"/>
      <x:c r="K69" s="47"/>
    </x:row>
    <x:row r="70" ht="15" hidden="0" customHeight="1">
      <x:c r="A70" s="45"/>
      <x:c r="B70" s="46"/>
      <x:c r="C70" s="46"/>
      <x:c r="D70" s="46"/>
      <x:c r="E70" s="46"/>
      <x:c r="F70" s="68"/>
      <x:c r="G70" s="68"/>
      <x:c r="H70" s="46"/>
      <x:c r="I70" s="46"/>
      <x:c r="J70" s="71"/>
      <x:c r="K70" s="47"/>
    </x:row>
    <x:row r="71" ht="15" hidden="0" customHeight="1">
      <x:c r="A71" s="45"/>
      <x:c r="B71" s="46"/>
      <x:c r="C71" s="46"/>
      <x:c r="D71" s="46"/>
      <x:c r="E71" s="46"/>
      <x:c r="F71" s="68"/>
      <x:c r="G71" s="68"/>
      <x:c r="H71" s="46"/>
      <x:c r="I71" s="46"/>
      <x:c r="J71" s="71"/>
      <x:c r="K71" s="47"/>
    </x:row>
    <x:row r="72" ht="15" hidden="0" customHeight="1">
      <x:c r="A72" s="45"/>
      <x:c r="B72" s="46"/>
      <x:c r="C72" s="46"/>
      <x:c r="D72" s="46"/>
      <x:c r="E72" s="46"/>
      <x:c r="F72" s="68"/>
      <x:c r="G72" s="68"/>
      <x:c r="H72" s="46"/>
      <x:c r="I72" s="46"/>
      <x:c r="J72" s="71"/>
      <x:c r="K72" s="47"/>
    </x:row>
    <x:row r="73" ht="15" hidden="0" customHeight="1">
      <x:c r="A73" s="45"/>
      <x:c r="B73" s="46"/>
      <x:c r="C73" s="46"/>
      <x:c r="D73" s="46"/>
      <x:c r="E73" s="46"/>
      <x:c r="F73" s="68"/>
      <x:c r="G73" s="68"/>
      <x:c r="H73" s="46"/>
      <x:c r="I73" s="46"/>
      <x:c r="J73" s="71"/>
      <x:c r="K73" s="47"/>
    </x:row>
    <x:row r="74" ht="15" hidden="0" customHeight="1">
      <x:c r="A74" s="45"/>
      <x:c r="B74" s="46"/>
      <x:c r="C74" s="46"/>
      <x:c r="D74" s="46"/>
      <x:c r="E74" s="46"/>
      <x:c r="F74" s="68"/>
      <x:c r="G74" s="68"/>
      <x:c r="H74" s="46"/>
      <x:c r="I74" s="46"/>
      <x:c r="J74" s="71"/>
      <x:c r="K74" s="47"/>
    </x:row>
    <x:row r="75" ht="15" hidden="0" customHeight="1">
      <x:c r="A75" s="45"/>
      <x:c r="B75" s="46"/>
      <x:c r="C75" s="46"/>
      <x:c r="D75" s="46"/>
      <x:c r="E75" s="46"/>
      <x:c r="F75" s="68"/>
      <x:c r="G75" s="68"/>
      <x:c r="H75" s="46"/>
      <x:c r="I75" s="46"/>
      <x:c r="J75" s="71"/>
      <x:c r="K75" s="47"/>
    </x:row>
    <x:row r="76" ht="15" hidden="0" customHeight="1">
      <x:c r="A76" s="45"/>
      <x:c r="B76" s="46"/>
      <x:c r="C76" s="46"/>
      <x:c r="D76" s="46"/>
      <x:c r="E76" s="46"/>
      <x:c r="F76" s="68"/>
      <x:c r="G76" s="68"/>
      <x:c r="H76" s="46"/>
      <x:c r="I76" s="46"/>
      <x:c r="J76" s="71"/>
      <x:c r="K76" s="47"/>
    </x:row>
    <x:row r="77" ht="15" hidden="0" customHeight="1">
      <x:c r="A77" s="45"/>
      <x:c r="B77" s="46"/>
      <x:c r="C77" s="46"/>
      <x:c r="D77" s="46"/>
      <x:c r="E77" s="46"/>
      <x:c r="F77" s="68"/>
      <x:c r="G77" s="68"/>
      <x:c r="H77" s="46"/>
      <x:c r="I77" s="46"/>
      <x:c r="J77" s="71"/>
      <x:c r="K77" s="47"/>
    </x:row>
    <x:row r="78" ht="15" hidden="0" customHeight="1">
      <x:c r="A78" s="45"/>
      <x:c r="B78" s="46"/>
      <x:c r="C78" s="46"/>
      <x:c r="D78" s="46"/>
      <x:c r="E78" s="46"/>
      <x:c r="F78" s="68"/>
      <x:c r="G78" s="68"/>
      <x:c r="H78" s="46"/>
      <x:c r="I78" s="46"/>
      <x:c r="J78" s="71"/>
      <x:c r="K78" s="47"/>
    </x:row>
    <x:row r="79" ht="15" hidden="0" customHeight="1">
      <x:c r="A79" s="45"/>
      <x:c r="B79" s="46"/>
      <x:c r="C79" s="46"/>
      <x:c r="D79" s="46"/>
      <x:c r="E79" s="46"/>
      <x:c r="F79" s="68"/>
      <x:c r="G79" s="68"/>
      <x:c r="H79" s="46"/>
      <x:c r="I79" s="46"/>
      <x:c r="J79" s="71"/>
      <x:c r="K79" s="47"/>
    </x:row>
    <x:row r="80" ht="15" hidden="0" customHeight="1">
      <x:c r="A80" s="45"/>
      <x:c r="B80" s="46"/>
      <x:c r="C80" s="46"/>
      <x:c r="D80" s="46"/>
      <x:c r="E80" s="46"/>
      <x:c r="F80" s="68"/>
      <x:c r="G80" s="68"/>
      <x:c r="H80" s="46"/>
      <x:c r="I80" s="46"/>
      <x:c r="J80" s="71"/>
      <x:c r="K80" s="47"/>
    </x:row>
    <x:row r="81" ht="15" hidden="0" customHeight="1">
      <x:c r="A81" s="45"/>
      <x:c r="B81" s="46"/>
      <x:c r="C81" s="46"/>
      <x:c r="D81" s="46"/>
      <x:c r="E81" s="46"/>
      <x:c r="F81" s="68"/>
      <x:c r="G81" s="68"/>
      <x:c r="H81" s="46"/>
      <x:c r="I81" s="46"/>
      <x:c r="J81" s="71"/>
      <x:c r="K81" s="47"/>
    </x:row>
    <x:row r="82" ht="15" hidden="0" customHeight="1">
      <x:c r="A82" s="45"/>
      <x:c r="B82" s="46"/>
      <x:c r="C82" s="46"/>
      <x:c r="D82" s="46"/>
      <x:c r="E82" s="46"/>
      <x:c r="F82" s="68"/>
      <x:c r="G82" s="68"/>
      <x:c r="H82" s="46"/>
      <x:c r="I82" s="46"/>
      <x:c r="J82" s="71"/>
      <x:c r="K82" s="47"/>
    </x:row>
    <x:row r="83" ht="15" hidden="0" customHeight="1">
      <x:c r="A83" s="45"/>
      <x:c r="B83" s="46"/>
      <x:c r="C83" s="46"/>
      <x:c r="D83" s="46"/>
      <x:c r="E83" s="46"/>
      <x:c r="F83" s="68"/>
      <x:c r="G83" s="68"/>
      <x:c r="H83" s="46"/>
      <x:c r="I83" s="46"/>
      <x:c r="J83" s="71"/>
      <x:c r="K83" s="47"/>
    </x:row>
    <x:row r="84" ht="15" hidden="0" customHeight="1">
      <x:c r="A84" s="45"/>
      <x:c r="B84" s="46"/>
      <x:c r="C84" s="46"/>
      <x:c r="D84" s="46"/>
      <x:c r="E84" s="46"/>
      <x:c r="F84" s="68"/>
      <x:c r="G84" s="68"/>
      <x:c r="H84" s="46"/>
      <x:c r="I84" s="46"/>
      <x:c r="J84" s="71"/>
      <x:c r="K84" s="47"/>
    </x:row>
    <x:row r="85" ht="15" hidden="0" customHeight="1">
      <x:c r="A85" s="45"/>
      <x:c r="B85" s="46"/>
      <x:c r="C85" s="46"/>
      <x:c r="D85" s="46"/>
      <x:c r="E85" s="46"/>
      <x:c r="F85" s="68"/>
      <x:c r="G85" s="68"/>
      <x:c r="H85" s="46"/>
      <x:c r="I85" s="46"/>
      <x:c r="J85" s="71"/>
      <x:c r="K85" s="47"/>
    </x:row>
    <x:row r="86" ht="15" hidden="0" customHeight="1">
      <x:c r="A86" s="45"/>
      <x:c r="B86" s="46"/>
      <x:c r="C86" s="46"/>
      <x:c r="D86" s="46"/>
      <x:c r="E86" s="46"/>
      <x:c r="F86" s="68"/>
      <x:c r="G86" s="68"/>
      <x:c r="H86" s="46"/>
      <x:c r="I86" s="46"/>
      <x:c r="J86" s="71"/>
      <x:c r="K86" s="47"/>
    </x:row>
    <x:row r="87" ht="15" hidden="0" customHeight="1">
      <x:c r="A87" s="45"/>
      <x:c r="B87" s="46"/>
      <x:c r="C87" s="46"/>
      <x:c r="D87" s="46"/>
      <x:c r="E87" s="46"/>
      <x:c r="F87" s="68"/>
      <x:c r="G87" s="68"/>
      <x:c r="H87" s="46"/>
      <x:c r="I87" s="46"/>
      <x:c r="J87" s="71"/>
      <x:c r="K87" s="47"/>
    </x:row>
    <x:row r="88" ht="15" hidden="0" customHeight="1">
      <x:c r="A88" s="45"/>
      <x:c r="B88" s="46"/>
      <x:c r="C88" s="46"/>
      <x:c r="D88" s="46"/>
      <x:c r="E88" s="46"/>
      <x:c r="F88" s="68"/>
      <x:c r="G88" s="68"/>
      <x:c r="H88" s="46"/>
      <x:c r="I88" s="46"/>
      <x:c r="J88" s="71"/>
      <x:c r="K88" s="47"/>
    </x:row>
    <x:row r="89" ht="15" hidden="0" customHeight="1">
      <x:c r="A89" s="45"/>
      <x:c r="B89" s="46"/>
      <x:c r="C89" s="46"/>
      <x:c r="D89" s="46"/>
      <x:c r="E89" s="46"/>
      <x:c r="F89" s="68"/>
      <x:c r="G89" s="68"/>
      <x:c r="H89" s="46"/>
      <x:c r="I89" s="46"/>
      <x:c r="J89" s="71"/>
      <x:c r="K89" s="47"/>
    </x:row>
    <x:row r="90" ht="15" hidden="0" customHeight="1">
      <x:c r="A90" s="45"/>
      <x:c r="B90" s="46"/>
      <x:c r="C90" s="46"/>
      <x:c r="D90" s="46"/>
      <x:c r="E90" s="46"/>
      <x:c r="F90" s="68"/>
      <x:c r="G90" s="68"/>
      <x:c r="H90" s="46"/>
      <x:c r="I90" s="46"/>
      <x:c r="J90" s="71"/>
      <x:c r="K90" s="47"/>
    </x:row>
    <x:row r="91" ht="15" hidden="0" customHeight="1">
      <x:c r="A91" s="45"/>
      <x:c r="B91" s="46"/>
      <x:c r="C91" s="46"/>
      <x:c r="D91" s="46"/>
      <x:c r="E91" s="46"/>
      <x:c r="F91" s="68"/>
      <x:c r="G91" s="68"/>
      <x:c r="H91" s="46"/>
      <x:c r="I91" s="46"/>
      <x:c r="J91" s="71"/>
      <x:c r="K91" s="47"/>
    </x:row>
    <x:row r="92" ht="15" hidden="0" customHeight="1">
      <x:c r="A92" s="45"/>
      <x:c r="B92" s="46"/>
      <x:c r="C92" s="46"/>
      <x:c r="D92" s="46"/>
      <x:c r="E92" s="46"/>
      <x:c r="F92" s="68"/>
      <x:c r="G92" s="68"/>
      <x:c r="H92" s="46"/>
      <x:c r="I92" s="46"/>
      <x:c r="J92" s="71"/>
      <x:c r="K92" s="47"/>
    </x:row>
    <x:row r="93" ht="15" hidden="0" customHeight="1">
      <x:c r="A93" s="45"/>
      <x:c r="B93" s="46"/>
      <x:c r="C93" s="46"/>
      <x:c r="D93" s="46"/>
      <x:c r="E93" s="46"/>
      <x:c r="F93" s="68"/>
      <x:c r="G93" s="68"/>
      <x:c r="H93" s="46"/>
      <x:c r="I93" s="46"/>
      <x:c r="J93" s="71"/>
      <x:c r="K93" s="47"/>
    </x:row>
    <x:row r="94" ht="15" hidden="0" customHeight="1">
      <x:c r="A94" s="45"/>
      <x:c r="B94" s="46"/>
      <x:c r="C94" s="46"/>
      <x:c r="D94" s="46"/>
      <x:c r="E94" s="46"/>
      <x:c r="F94" s="68"/>
      <x:c r="G94" s="68"/>
      <x:c r="H94" s="46"/>
      <x:c r="I94" s="46"/>
      <x:c r="J94" s="71"/>
      <x:c r="K94" s="47"/>
    </x:row>
    <x:row r="95" ht="15" hidden="0" customHeight="1">
      <x:c r="A95" s="45"/>
      <x:c r="B95" s="46"/>
      <x:c r="C95" s="46"/>
      <x:c r="D95" s="46"/>
      <x:c r="E95" s="46"/>
      <x:c r="F95" s="68"/>
      <x:c r="G95" s="68"/>
      <x:c r="H95" s="46"/>
      <x:c r="I95" s="46"/>
      <x:c r="J95" s="71"/>
      <x:c r="K95" s="47"/>
    </x:row>
    <x:row r="96" ht="15" hidden="0" customHeight="1">
      <x:c r="A96" s="45"/>
      <x:c r="B96" s="46"/>
      <x:c r="C96" s="46"/>
      <x:c r="D96" s="46"/>
      <x:c r="E96" s="46"/>
      <x:c r="F96" s="68"/>
      <x:c r="G96" s="68"/>
      <x:c r="H96" s="46"/>
      <x:c r="I96" s="46"/>
      <x:c r="J96" s="71"/>
      <x:c r="K96" s="47"/>
    </x:row>
    <x:row r="97" ht="15" hidden="0" customHeight="1">
      <x:c r="A97" s="45"/>
      <x:c r="B97" s="46"/>
      <x:c r="C97" s="46"/>
      <x:c r="D97" s="46"/>
      <x:c r="E97" s="46"/>
      <x:c r="F97" s="68"/>
      <x:c r="G97" s="68"/>
      <x:c r="H97" s="46"/>
      <x:c r="I97" s="46"/>
      <x:c r="J97" s="71"/>
      <x:c r="K97" s="47"/>
    </x:row>
    <x:row r="98" ht="15" hidden="0" customHeight="1">
      <x:c r="A98" s="45"/>
      <x:c r="B98" s="46"/>
      <x:c r="C98" s="46"/>
      <x:c r="D98" s="46"/>
      <x:c r="E98" s="46"/>
      <x:c r="F98" s="68"/>
      <x:c r="G98" s="68"/>
      <x:c r="H98" s="46"/>
      <x:c r="I98" s="46"/>
      <x:c r="J98" s="71"/>
      <x:c r="K98" s="47"/>
    </x:row>
    <x:row r="99" ht="15" hidden="0" customHeight="1">
      <x:c r="A99" s="45"/>
      <x:c r="B99" s="46"/>
      <x:c r="C99" s="46"/>
      <x:c r="D99" s="46"/>
      <x:c r="E99" s="46"/>
      <x:c r="F99" s="68"/>
      <x:c r="G99" s="68"/>
      <x:c r="H99" s="46"/>
      <x:c r="I99" s="46"/>
      <x:c r="J99" s="71"/>
      <x:c r="K99" s="47"/>
    </x:row>
    <x:row r="100" ht="15" hidden="0" customHeight="1">
      <x:c r="A100" s="45"/>
      <x:c r="B100" s="46"/>
      <x:c r="C100" s="46"/>
      <x:c r="D100" s="46"/>
      <x:c r="E100" s="46"/>
      <x:c r="F100" s="68"/>
      <x:c r="G100" s="68"/>
      <x:c r="H100" s="46"/>
      <x:c r="I100" s="46"/>
      <x:c r="J100" s="71"/>
      <x:c r="K100" s="47"/>
    </x:row>
    <x:row r="101" ht="15" hidden="0" customHeight="1">
      <x:c r="A101" s="45"/>
      <x:c r="B101" s="46"/>
      <x:c r="C101" s="46"/>
      <x:c r="D101" s="46"/>
      <x:c r="E101" s="46"/>
      <x:c r="F101" s="68"/>
      <x:c r="G101" s="68"/>
      <x:c r="H101" s="46"/>
      <x:c r="I101" s="46"/>
      <x:c r="J101" s="71"/>
      <x:c r="K101" s="47"/>
    </x:row>
    <x:row r="102" ht="15" hidden="0" customHeight="1">
      <x:c r="A102" s="45"/>
      <x:c r="B102" s="46"/>
      <x:c r="C102" s="46"/>
      <x:c r="D102" s="46"/>
      <x:c r="E102" s="46"/>
      <x:c r="F102" s="68"/>
      <x:c r="G102" s="68"/>
      <x:c r="H102" s="46"/>
      <x:c r="I102" s="46"/>
      <x:c r="J102" s="71"/>
      <x:c r="K102" s="47"/>
    </x:row>
    <x:row r="103" ht="15" hidden="0" customHeight="1">
      <x:c r="A103" s="45"/>
      <x:c r="B103" s="46"/>
      <x:c r="C103" s="46"/>
      <x:c r="D103" s="46"/>
      <x:c r="E103" s="46"/>
      <x:c r="F103" s="68"/>
      <x:c r="G103" s="68"/>
      <x:c r="H103" s="46"/>
      <x:c r="I103" s="46"/>
      <x:c r="J103" s="71"/>
      <x:c r="K103" s="47"/>
    </x:row>
    <x:row r="104" ht="15" hidden="0" customHeight="1">
      <x:c r="A104" s="48"/>
      <x:c r="B104" s="49"/>
      <x:c r="C104" s="49"/>
      <x:c r="D104" s="49"/>
      <x:c r="E104" s="49"/>
      <x:c r="F104" s="69"/>
      <x:c r="G104" s="69"/>
      <x:c r="H104" s="49"/>
      <x:c r="I104" s="49"/>
      <x:c r="J104" s="72"/>
      <x:c r="K104" s="50"/>
    </x:row>
  </x:sheetData>
  <x:mergeCells>
    <x:mergeCell ref="A1:K1"/>
    <x:mergeCell ref="A2:H2"/>
  </x:mergeCells>
  <x:dataValidations count="3">
    <x:dataValidation type="list" sqref="C5:C104">
      <x:formula1>'Lists'!$A$5:$A$9</x:formula1>
    </x:dataValidation>
    <x:dataValidation type="list" sqref="E5:E104">
      <x:formula1>'Lists'!$B$5:$B$7</x:formula1>
    </x:dataValidation>
    <x:dataValidation type="list" sqref="I5:I104">
      <x:formula1>'Lists'!$C$5:$C$8</x:formula1>
    </x:dataValidation>
  </x:dataValidations>
  <x:pageMargins left="0.7" right="0.7" top="0.75" bottom="0.75" header="0.3" footer="0.3"/>
  <x:legacyDrawing xmlns:r="http://schemas.openxmlformats.org/officeDocument/2006/relationships" r:id="Rd139e9ce10b149c4"/>
  <x:tableParts count="1">
    <x:tablePart xmlns:r="http://schemas.openxmlformats.org/officeDocument/2006/relationships" r:id="Rd3b4491c475d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27.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19.200000762939453" hidden="0" customHeight="1">
      <x:c r="A1" s="4" t="str">
        <x:v>Protocol Registry</x:v>
      </x:c>
      <x:c r="B1" s="4" t="str">
        <x:v>Protocol Registry</x:v>
      </x:c>
      <x:c r="C1" s="4" t="str">
        <x:v>Protocol Registry</x:v>
      </x:c>
      <x:c r="D1" s="4" t="str">
        <x:v>Protocol Registry</x:v>
      </x:c>
      <x:c r="E1" s="4" t="str">
        <x:v>Protocol Registry</x:v>
      </x:c>
      <x:c r="F1" s="4" t="str">
        <x:v>Protocol Registry</x:v>
      </x:c>
      <x:c r="G1" s="4" t="str">
        <x:v>Protocol Registry</x:v>
      </x:c>
      <x:c r="H1" s="4" t="str">
        <x:v>Protocol Registry</x:v>
      </x:c>
      <x:c r="I1" s="4" t="str">
        <x:v>Protocol Registry</x:v>
      </x:c>
    </x:row>
    <x:row r="2" ht="15" hidden="0" customHeight="1">
      <x:c r="A2" s="8" t="str">
        <x:v>Define protocols, endpoints, frequency, and responsibility before recording observations.</x:v>
      </x:c>
      <x:c r="B2" s="8" t="str">
        <x:v>Define protocols, endpoints, frequency, and responsibility before recording observations.</x:v>
      </x:c>
      <x:c r="C2" s="8" t="str">
        <x:v>Define protocols, endpoints, frequency, and responsibility before recording observations.</x:v>
      </x:c>
      <x:c r="D2" s="8" t="str">
        <x:v>Define protocols, endpoints, frequency, and responsibility before recording observations.</x:v>
      </x:c>
      <x:c r="E2" s="8" t="str">
        <x:v>Define protocols, endpoints, frequency, and responsibility before recording observations.</x:v>
      </x:c>
      <x:c r="F2" s="8" t="str">
        <x:v>Define protocols, endpoints, frequency, and responsibility before recording observations.</x:v>
      </x:c>
      <x:c r="G2" s="8" t="str">
        <x:v>Define protocols, endpoints, frequency, and responsibility before recording observations.</x:v>
      </x:c>
      <x:c r="H2" s="8" t="str">
        <x:v>Define protocols, endpoints, frequency, and responsibility before recording observations.</x:v>
      </x:c>
    </x:row>
    <x:row r="3"/>
    <x:row r="4" ht="15" hidden="0" customHeight="1">
      <x:c r="A4" s="64" t="str">
        <x:v>Protocol ID</x:v>
      </x:c>
      <x:c r="B4" s="65" t="str">
        <x:v>Protocol Name</x:v>
      </x:c>
      <x:c r="C4" s="65" t="str">
        <x:v>Objective</x:v>
      </x:c>
      <x:c r="D4" s="65" t="str">
        <x:v>Start Date</x:v>
      </x:c>
      <x:c r="E4" s="65" t="str">
        <x:v>End Date</x:v>
      </x:c>
      <x:c r="F4" s="65" t="str">
        <x:v>Observation Frequency</x:v>
      </x:c>
      <x:c r="G4" s="65" t="str">
        <x:v>Responsible</x:v>
      </x:c>
      <x:c r="H4" s="65" t="str">
        <x:v>Ethics/Approval Ref</x:v>
      </x:c>
      <x:c r="I4" s="66" t="str">
        <x:v>Notes</x:v>
      </x:c>
    </x:row>
    <x:row r="5" ht="15" hidden="0" customHeight="1">
      <x:c r="A5" s="42" t="str">
        <x:v>P-001</x:v>
      </x:c>
      <x:c r="B5" s="43" t="str">
        <x:v>Open Field Habituation</x:v>
      </x:c>
      <x:c r="C5" s="43" t="str">
        <x:v>Track activity and stress-related behavior</x:v>
      </x:c>
      <x:c r="D5" s="67" t="n">
        <x:v>46188</x:v>
      </x:c>
      <x:c r="E5" s="67" t="n">
        <x:v>46218</x:v>
      </x:c>
      <x:c r="F5" s="43" t="str">
        <x:v>Daily</x:v>
      </x:c>
      <x:c r="G5" s="43" t="str">
        <x:v>Researcher</x:v>
      </x:c>
      <x:c r="H5" s="43" t="str">
        <x:v>APP-001</x:v>
      </x:c>
      <x:c r="I5" s="44" t="str">
        <x:v>Example</x:v>
      </x:c>
    </x:row>
    <x:row r="6" ht="15" hidden="0" customHeight="1">
      <x:c r="A6" s="45" t="str">
        <x:v>P-002</x:v>
      </x:c>
      <x:c r="B6" s="46" t="str">
        <x:v>Post-procedure Monitoring</x:v>
      </x:c>
      <x:c r="C6" s="46" t="str">
        <x:v>Follow recovery and welfare parameters</x:v>
      </x:c>
      <x:c r="D6" s="68" t="n">
        <x:v>46187</x:v>
      </x:c>
      <x:c r="E6" s="68" t="n">
        <x:v>46201</x:v>
      </x:c>
      <x:c r="F6" s="46" t="str">
        <x:v>Twice daily</x:v>
      </x:c>
      <x:c r="G6" s="46" t="str">
        <x:v>Veterinary team</x:v>
      </x:c>
      <x:c r="H6" s="46" t="str">
        <x:v>APP-002</x:v>
      </x:c>
      <x:c r="I6" s="47" t="str">
        <x:v>Example</x:v>
      </x:c>
    </x:row>
    <x:row r="7" ht="15" hidden="0" customHeight="1">
      <x:c r="A7" s="45" t="str"/>
      <x:c r="B7" s="46" t="str"/>
      <x:c r="C7" s="46" t="str"/>
      <x:c r="D7" s="68"/>
      <x:c r="E7" s="68"/>
      <x:c r="F7" s="46" t="str"/>
      <x:c r="G7" s="46" t="str"/>
      <x:c r="H7" s="46" t="str"/>
      <x:c r="I7" s="47" t="str"/>
    </x:row>
    <x:row r="8" ht="15" hidden="0" customHeight="1">
      <x:c r="A8" s="45" t="str"/>
      <x:c r="B8" s="46" t="str"/>
      <x:c r="C8" s="46" t="str"/>
      <x:c r="D8" s="68"/>
      <x:c r="E8" s="68"/>
      <x:c r="F8" s="46" t="str"/>
      <x:c r="G8" s="46" t="str"/>
      <x:c r="H8" s="46" t="str"/>
      <x:c r="I8" s="47" t="str"/>
    </x:row>
    <x:row r="9" ht="15" hidden="0" customHeight="1">
      <x:c r="A9" s="45"/>
      <x:c r="B9" s="46"/>
      <x:c r="C9" s="46"/>
      <x:c r="D9" s="68"/>
      <x:c r="E9" s="68"/>
      <x:c r="F9" s="46"/>
      <x:c r="G9" s="46"/>
      <x:c r="H9" s="46"/>
      <x:c r="I9" s="47"/>
    </x:row>
    <x:row r="10" ht="15" hidden="0" customHeight="1">
      <x:c r="A10" s="45"/>
      <x:c r="B10" s="46"/>
      <x:c r="C10" s="46"/>
      <x:c r="D10" s="68"/>
      <x:c r="E10" s="68"/>
      <x:c r="F10" s="46"/>
      <x:c r="G10" s="46"/>
      <x:c r="H10" s="46"/>
      <x:c r="I10" s="47"/>
    </x:row>
    <x:row r="11" ht="15" hidden="0" customHeight="1">
      <x:c r="A11" s="45"/>
      <x:c r="B11" s="46"/>
      <x:c r="C11" s="46"/>
      <x:c r="D11" s="68"/>
      <x:c r="E11" s="68"/>
      <x:c r="F11" s="46"/>
      <x:c r="G11" s="46"/>
      <x:c r="H11" s="46"/>
      <x:c r="I11" s="47"/>
    </x:row>
    <x:row r="12" ht="15" hidden="0" customHeight="1">
      <x:c r="A12" s="45"/>
      <x:c r="B12" s="46"/>
      <x:c r="C12" s="46"/>
      <x:c r="D12" s="68"/>
      <x:c r="E12" s="68"/>
      <x:c r="F12" s="46"/>
      <x:c r="G12" s="46"/>
      <x:c r="H12" s="46"/>
      <x:c r="I12" s="47"/>
    </x:row>
    <x:row r="13" ht="15" hidden="0" customHeight="1">
      <x:c r="A13" s="45"/>
      <x:c r="B13" s="46"/>
      <x:c r="C13" s="46"/>
      <x:c r="D13" s="68"/>
      <x:c r="E13" s="68"/>
      <x:c r="F13" s="46"/>
      <x:c r="G13" s="46"/>
      <x:c r="H13" s="46"/>
      <x:c r="I13" s="47"/>
    </x:row>
    <x:row r="14" ht="15" hidden="0" customHeight="1">
      <x:c r="A14" s="45"/>
      <x:c r="B14" s="46"/>
      <x:c r="C14" s="46"/>
      <x:c r="D14" s="68"/>
      <x:c r="E14" s="68"/>
      <x:c r="F14" s="46"/>
      <x:c r="G14" s="46"/>
      <x:c r="H14" s="46"/>
      <x:c r="I14" s="47"/>
    </x:row>
    <x:row r="15" ht="15" hidden="0" customHeight="1">
      <x:c r="A15" s="45"/>
      <x:c r="B15" s="46"/>
      <x:c r="C15" s="46"/>
      <x:c r="D15" s="68"/>
      <x:c r="E15" s="68"/>
      <x:c r="F15" s="46"/>
      <x:c r="G15" s="46"/>
      <x:c r="H15" s="46"/>
      <x:c r="I15" s="47"/>
    </x:row>
    <x:row r="16" ht="15" hidden="0" customHeight="1">
      <x:c r="A16" s="45"/>
      <x:c r="B16" s="46"/>
      <x:c r="C16" s="46"/>
      <x:c r="D16" s="68"/>
      <x:c r="E16" s="68"/>
      <x:c r="F16" s="46"/>
      <x:c r="G16" s="46"/>
      <x:c r="H16" s="46"/>
      <x:c r="I16" s="47"/>
    </x:row>
    <x:row r="17" ht="15" hidden="0" customHeight="1">
      <x:c r="A17" s="45"/>
      <x:c r="B17" s="46"/>
      <x:c r="C17" s="46"/>
      <x:c r="D17" s="68"/>
      <x:c r="E17" s="68"/>
      <x:c r="F17" s="46"/>
      <x:c r="G17" s="46"/>
      <x:c r="H17" s="46"/>
      <x:c r="I17" s="47"/>
    </x:row>
    <x:row r="18" ht="15" hidden="0" customHeight="1">
      <x:c r="A18" s="45"/>
      <x:c r="B18" s="46"/>
      <x:c r="C18" s="46"/>
      <x:c r="D18" s="68"/>
      <x:c r="E18" s="68"/>
      <x:c r="F18" s="46"/>
      <x:c r="G18" s="46"/>
      <x:c r="H18" s="46"/>
      <x:c r="I18" s="47"/>
    </x:row>
    <x:row r="19" ht="15" hidden="0" customHeight="1">
      <x:c r="A19" s="45"/>
      <x:c r="B19" s="46"/>
      <x:c r="C19" s="46"/>
      <x:c r="D19" s="68"/>
      <x:c r="E19" s="68"/>
      <x:c r="F19" s="46"/>
      <x:c r="G19" s="46"/>
      <x:c r="H19" s="46"/>
      <x:c r="I19" s="47"/>
    </x:row>
    <x:row r="20" ht="15" hidden="0" customHeight="1">
      <x:c r="A20" s="45"/>
      <x:c r="B20" s="46"/>
      <x:c r="C20" s="46"/>
      <x:c r="D20" s="68"/>
      <x:c r="E20" s="68"/>
      <x:c r="F20" s="46"/>
      <x:c r="G20" s="46"/>
      <x:c r="H20" s="46"/>
      <x:c r="I20" s="47"/>
    </x:row>
    <x:row r="21" ht="15" hidden="0" customHeight="1">
      <x:c r="A21" s="45"/>
      <x:c r="B21" s="46"/>
      <x:c r="C21" s="46"/>
      <x:c r="D21" s="68"/>
      <x:c r="E21" s="68"/>
      <x:c r="F21" s="46"/>
      <x:c r="G21" s="46"/>
      <x:c r="H21" s="46"/>
      <x:c r="I21" s="47"/>
    </x:row>
    <x:row r="22" ht="15" hidden="0" customHeight="1">
      <x:c r="A22" s="45"/>
      <x:c r="B22" s="46"/>
      <x:c r="C22" s="46"/>
      <x:c r="D22" s="68"/>
      <x:c r="E22" s="68"/>
      <x:c r="F22" s="46"/>
      <x:c r="G22" s="46"/>
      <x:c r="H22" s="46"/>
      <x:c r="I22" s="47"/>
    </x:row>
    <x:row r="23" ht="15" hidden="0" customHeight="1">
      <x:c r="A23" s="45"/>
      <x:c r="B23" s="46"/>
      <x:c r="C23" s="46"/>
      <x:c r="D23" s="68"/>
      <x:c r="E23" s="68"/>
      <x:c r="F23" s="46"/>
      <x:c r="G23" s="46"/>
      <x:c r="H23" s="46"/>
      <x:c r="I23" s="47"/>
    </x:row>
    <x:row r="24" ht="15" hidden="0" customHeight="1">
      <x:c r="A24" s="45"/>
      <x:c r="B24" s="46"/>
      <x:c r="C24" s="46"/>
      <x:c r="D24" s="68"/>
      <x:c r="E24" s="68"/>
      <x:c r="F24" s="46"/>
      <x:c r="G24" s="46"/>
      <x:c r="H24" s="46"/>
      <x:c r="I24" s="47"/>
    </x:row>
    <x:row r="25" ht="15" hidden="0" customHeight="1">
      <x:c r="A25" s="45"/>
      <x:c r="B25" s="46"/>
      <x:c r="C25" s="46"/>
      <x:c r="D25" s="68"/>
      <x:c r="E25" s="68"/>
      <x:c r="F25" s="46"/>
      <x:c r="G25" s="46"/>
      <x:c r="H25" s="46"/>
      <x:c r="I25" s="47"/>
    </x:row>
    <x:row r="26" ht="15" hidden="0" customHeight="1">
      <x:c r="A26" s="45"/>
      <x:c r="B26" s="46"/>
      <x:c r="C26" s="46"/>
      <x:c r="D26" s="68"/>
      <x:c r="E26" s="68"/>
      <x:c r="F26" s="46"/>
      <x:c r="G26" s="46"/>
      <x:c r="H26" s="46"/>
      <x:c r="I26" s="47"/>
    </x:row>
    <x:row r="27" ht="15" hidden="0" customHeight="1">
      <x:c r="A27" s="45"/>
      <x:c r="B27" s="46"/>
      <x:c r="C27" s="46"/>
      <x:c r="D27" s="68"/>
      <x:c r="E27" s="68"/>
      <x:c r="F27" s="46"/>
      <x:c r="G27" s="46"/>
      <x:c r="H27" s="46"/>
      <x:c r="I27" s="47"/>
    </x:row>
    <x:row r="28" ht="15" hidden="0" customHeight="1">
      <x:c r="A28" s="45"/>
      <x:c r="B28" s="46"/>
      <x:c r="C28" s="46"/>
      <x:c r="D28" s="68"/>
      <x:c r="E28" s="68"/>
      <x:c r="F28" s="46"/>
      <x:c r="G28" s="46"/>
      <x:c r="H28" s="46"/>
      <x:c r="I28" s="47"/>
    </x:row>
    <x:row r="29" ht="15" hidden="0" customHeight="1">
      <x:c r="A29" s="45"/>
      <x:c r="B29" s="46"/>
      <x:c r="C29" s="46"/>
      <x:c r="D29" s="68"/>
      <x:c r="E29" s="68"/>
      <x:c r="F29" s="46"/>
      <x:c r="G29" s="46"/>
      <x:c r="H29" s="46"/>
      <x:c r="I29" s="47"/>
    </x:row>
    <x:row r="30" ht="15" hidden="0" customHeight="1">
      <x:c r="A30" s="45"/>
      <x:c r="B30" s="46"/>
      <x:c r="C30" s="46"/>
      <x:c r="D30" s="68"/>
      <x:c r="E30" s="68"/>
      <x:c r="F30" s="46"/>
      <x:c r="G30" s="46"/>
      <x:c r="H30" s="46"/>
      <x:c r="I30" s="47"/>
    </x:row>
    <x:row r="31" ht="15" hidden="0" customHeight="1">
      <x:c r="A31" s="45"/>
      <x:c r="B31" s="46"/>
      <x:c r="C31" s="46"/>
      <x:c r="D31" s="68"/>
      <x:c r="E31" s="68"/>
      <x:c r="F31" s="46"/>
      <x:c r="G31" s="46"/>
      <x:c r="H31" s="46"/>
      <x:c r="I31" s="47"/>
    </x:row>
    <x:row r="32" ht="15" hidden="0" customHeight="1">
      <x:c r="A32" s="45"/>
      <x:c r="B32" s="46"/>
      <x:c r="C32" s="46"/>
      <x:c r="D32" s="68"/>
      <x:c r="E32" s="68"/>
      <x:c r="F32" s="46"/>
      <x:c r="G32" s="46"/>
      <x:c r="H32" s="46"/>
      <x:c r="I32" s="47"/>
    </x:row>
    <x:row r="33" ht="15" hidden="0" customHeight="1">
      <x:c r="A33" s="45"/>
      <x:c r="B33" s="46"/>
      <x:c r="C33" s="46"/>
      <x:c r="D33" s="68"/>
      <x:c r="E33" s="68"/>
      <x:c r="F33" s="46"/>
      <x:c r="G33" s="46"/>
      <x:c r="H33" s="46"/>
      <x:c r="I33" s="47"/>
    </x:row>
    <x:row r="34" ht="15" hidden="0" customHeight="1">
      <x:c r="A34" s="45"/>
      <x:c r="B34" s="46"/>
      <x:c r="C34" s="46"/>
      <x:c r="D34" s="68"/>
      <x:c r="E34" s="68"/>
      <x:c r="F34" s="46"/>
      <x:c r="G34" s="46"/>
      <x:c r="H34" s="46"/>
      <x:c r="I34" s="47"/>
    </x:row>
    <x:row r="35" ht="15" hidden="0" customHeight="1">
      <x:c r="A35" s="45"/>
      <x:c r="B35" s="46"/>
      <x:c r="C35" s="46"/>
      <x:c r="D35" s="68"/>
      <x:c r="E35" s="68"/>
      <x:c r="F35" s="46"/>
      <x:c r="G35" s="46"/>
      <x:c r="H35" s="46"/>
      <x:c r="I35" s="47"/>
    </x:row>
    <x:row r="36" ht="15" hidden="0" customHeight="1">
      <x:c r="A36" s="45"/>
      <x:c r="B36" s="46"/>
      <x:c r="C36" s="46"/>
      <x:c r="D36" s="68"/>
      <x:c r="E36" s="68"/>
      <x:c r="F36" s="46"/>
      <x:c r="G36" s="46"/>
      <x:c r="H36" s="46"/>
      <x:c r="I36" s="47"/>
    </x:row>
    <x:row r="37" ht="15" hidden="0" customHeight="1">
      <x:c r="A37" s="45"/>
      <x:c r="B37" s="46"/>
      <x:c r="C37" s="46"/>
      <x:c r="D37" s="68"/>
      <x:c r="E37" s="68"/>
      <x:c r="F37" s="46"/>
      <x:c r="G37" s="46"/>
      <x:c r="H37" s="46"/>
      <x:c r="I37" s="47"/>
    </x:row>
    <x:row r="38" ht="15" hidden="0" customHeight="1">
      <x:c r="A38" s="45"/>
      <x:c r="B38" s="46"/>
      <x:c r="C38" s="46"/>
      <x:c r="D38" s="68"/>
      <x:c r="E38" s="68"/>
      <x:c r="F38" s="46"/>
      <x:c r="G38" s="46"/>
      <x:c r="H38" s="46"/>
      <x:c r="I38" s="47"/>
    </x:row>
    <x:row r="39" ht="15" hidden="0" customHeight="1">
      <x:c r="A39" s="45"/>
      <x:c r="B39" s="46"/>
      <x:c r="C39" s="46"/>
      <x:c r="D39" s="68"/>
      <x:c r="E39" s="68"/>
      <x:c r="F39" s="46"/>
      <x:c r="G39" s="46"/>
      <x:c r="H39" s="46"/>
      <x:c r="I39" s="47"/>
    </x:row>
    <x:row r="40" ht="15" hidden="0" customHeight="1">
      <x:c r="A40" s="45"/>
      <x:c r="B40" s="46"/>
      <x:c r="C40" s="46"/>
      <x:c r="D40" s="68"/>
      <x:c r="E40" s="68"/>
      <x:c r="F40" s="46"/>
      <x:c r="G40" s="46"/>
      <x:c r="H40" s="46"/>
      <x:c r="I40" s="47"/>
    </x:row>
    <x:row r="41" ht="15" hidden="0" customHeight="1">
      <x:c r="A41" s="45"/>
      <x:c r="B41" s="46"/>
      <x:c r="C41" s="46"/>
      <x:c r="D41" s="68"/>
      <x:c r="E41" s="68"/>
      <x:c r="F41" s="46"/>
      <x:c r="G41" s="46"/>
      <x:c r="H41" s="46"/>
      <x:c r="I41" s="47"/>
    </x:row>
    <x:row r="42" ht="15" hidden="0" customHeight="1">
      <x:c r="A42" s="45"/>
      <x:c r="B42" s="46"/>
      <x:c r="C42" s="46"/>
      <x:c r="D42" s="68"/>
      <x:c r="E42" s="68"/>
      <x:c r="F42" s="46"/>
      <x:c r="G42" s="46"/>
      <x:c r="H42" s="46"/>
      <x:c r="I42" s="47"/>
    </x:row>
    <x:row r="43" ht="15" hidden="0" customHeight="1">
      <x:c r="A43" s="45"/>
      <x:c r="B43" s="46"/>
      <x:c r="C43" s="46"/>
      <x:c r="D43" s="68"/>
      <x:c r="E43" s="68"/>
      <x:c r="F43" s="46"/>
      <x:c r="G43" s="46"/>
      <x:c r="H43" s="46"/>
      <x:c r="I43" s="47"/>
    </x:row>
    <x:row r="44" ht="15" hidden="0" customHeight="1">
      <x:c r="A44" s="45"/>
      <x:c r="B44" s="46"/>
      <x:c r="C44" s="46"/>
      <x:c r="D44" s="68"/>
      <x:c r="E44" s="68"/>
      <x:c r="F44" s="46"/>
      <x:c r="G44" s="46"/>
      <x:c r="H44" s="46"/>
      <x:c r="I44" s="47"/>
    </x:row>
    <x:row r="45" ht="15" hidden="0" customHeight="1">
      <x:c r="A45" s="45"/>
      <x:c r="B45" s="46"/>
      <x:c r="C45" s="46"/>
      <x:c r="D45" s="68"/>
      <x:c r="E45" s="68"/>
      <x:c r="F45" s="46"/>
      <x:c r="G45" s="46"/>
      <x:c r="H45" s="46"/>
      <x:c r="I45" s="47"/>
    </x:row>
    <x:row r="46" ht="15" hidden="0" customHeight="1">
      <x:c r="A46" s="45"/>
      <x:c r="B46" s="46"/>
      <x:c r="C46" s="46"/>
      <x:c r="D46" s="68"/>
      <x:c r="E46" s="68"/>
      <x:c r="F46" s="46"/>
      <x:c r="G46" s="46"/>
      <x:c r="H46" s="46"/>
      <x:c r="I46" s="47"/>
    </x:row>
    <x:row r="47" ht="15" hidden="0" customHeight="1">
      <x:c r="A47" s="45"/>
      <x:c r="B47" s="46"/>
      <x:c r="C47" s="46"/>
      <x:c r="D47" s="68"/>
      <x:c r="E47" s="68"/>
      <x:c r="F47" s="46"/>
      <x:c r="G47" s="46"/>
      <x:c r="H47" s="46"/>
      <x:c r="I47" s="47"/>
    </x:row>
    <x:row r="48" ht="15" hidden="0" customHeight="1">
      <x:c r="A48" s="45"/>
      <x:c r="B48" s="46"/>
      <x:c r="C48" s="46"/>
      <x:c r="D48" s="68"/>
      <x:c r="E48" s="68"/>
      <x:c r="F48" s="46"/>
      <x:c r="G48" s="46"/>
      <x:c r="H48" s="46"/>
      <x:c r="I48" s="47"/>
    </x:row>
    <x:row r="49" ht="15" hidden="0" customHeight="1">
      <x:c r="A49" s="45"/>
      <x:c r="B49" s="46"/>
      <x:c r="C49" s="46"/>
      <x:c r="D49" s="68"/>
      <x:c r="E49" s="68"/>
      <x:c r="F49" s="46"/>
      <x:c r="G49" s="46"/>
      <x:c r="H49" s="46"/>
      <x:c r="I49" s="47"/>
    </x:row>
    <x:row r="50" ht="15" hidden="0" customHeight="1">
      <x:c r="A50" s="45"/>
      <x:c r="B50" s="46"/>
      <x:c r="C50" s="46"/>
      <x:c r="D50" s="68"/>
      <x:c r="E50" s="68"/>
      <x:c r="F50" s="46"/>
      <x:c r="G50" s="46"/>
      <x:c r="H50" s="46"/>
      <x:c r="I50" s="47"/>
    </x:row>
    <x:row r="51" ht="15" hidden="0" customHeight="1">
      <x:c r="A51" s="45"/>
      <x:c r="B51" s="46"/>
      <x:c r="C51" s="46"/>
      <x:c r="D51" s="68"/>
      <x:c r="E51" s="68"/>
      <x:c r="F51" s="46"/>
      <x:c r="G51" s="46"/>
      <x:c r="H51" s="46"/>
      <x:c r="I51" s="47"/>
    </x:row>
    <x:row r="52" ht="15" hidden="0" customHeight="1">
      <x:c r="A52" s="45"/>
      <x:c r="B52" s="46"/>
      <x:c r="C52" s="46"/>
      <x:c r="D52" s="68"/>
      <x:c r="E52" s="68"/>
      <x:c r="F52" s="46"/>
      <x:c r="G52" s="46"/>
      <x:c r="H52" s="46"/>
      <x:c r="I52" s="47"/>
    </x:row>
    <x:row r="53" ht="15" hidden="0" customHeight="1">
      <x:c r="A53" s="45"/>
      <x:c r="B53" s="46"/>
      <x:c r="C53" s="46"/>
      <x:c r="D53" s="68"/>
      <x:c r="E53" s="68"/>
      <x:c r="F53" s="46"/>
      <x:c r="G53" s="46"/>
      <x:c r="H53" s="46"/>
      <x:c r="I53" s="47"/>
    </x:row>
    <x:row r="54" ht="15" hidden="0" customHeight="1">
      <x:c r="A54" s="48"/>
      <x:c r="B54" s="49"/>
      <x:c r="C54" s="49"/>
      <x:c r="D54" s="69"/>
      <x:c r="E54" s="69"/>
      <x:c r="F54" s="49"/>
      <x:c r="G54" s="49"/>
      <x:c r="H54" s="49"/>
      <x:c r="I54" s="50"/>
    </x:row>
  </x:sheetData>
  <x:mergeCells>
    <x:mergeCell ref="A1:I1"/>
    <x:mergeCell ref="A2:H2"/>
  </x:mergeCells>
  <x:pageMargins left="0.7" right="0.7" top="0.75" bottom="0.75" header="0.3" footer="0.3"/>
  <x:tableParts count="1">
    <x:tablePart xmlns:r="http://schemas.openxmlformats.org/officeDocument/2006/relationships" r:id="Re1af6459f96447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</x:cols>
  <x:sheetData>
    <x:row r="1" ht="19.200000762939453" hidden="0" customHeight="1">
      <x:c r="A1" s="4" t="str">
        <x:v>Normal Parameters</x:v>
      </x:c>
      <x:c r="B1" s="4" t="str">
        <x:v>Normal Parameters</x:v>
      </x:c>
      <x:c r="C1" s="4" t="str">
        <x:v>Normal Parameters</x:v>
      </x:c>
      <x:c r="D1" s="4" t="str">
        <x:v>Normal Parameters</x:v>
      </x:c>
      <x:c r="E1" s="4" t="str">
        <x:v>Normal Parameters</x:v>
      </x:c>
      <x:c r="F1" s="4" t="str">
        <x:v>Normal Parameters</x:v>
      </x:c>
      <x:c r="G1" s="4" t="str">
        <x:v>Normal Parameters</x:v>
      </x:c>
      <x:c r="H1" s="4" t="str">
        <x:v>Normal Parameters</x:v>
      </x:c>
      <x:c r="I1" s="4" t="str">
        <x:v>Normal Parameters</x:v>
      </x:c>
      <x:c r="J1" s="4" t="str">
        <x:v>Normal Parameters</x:v>
      </x:c>
    </x:row>
    <x:row r="2" ht="15" hidden="0" customHeight="1">
      <x:c r="A2" s="8" t="str">
        <x:v>Set expected ranges by species or protocol. Observations compare against these limits.</x:v>
      </x:c>
      <x:c r="B2" s="8" t="str">
        <x:v>Set expected ranges by species or protocol. Observations compare against these limits.</x:v>
      </x:c>
      <x:c r="C2" s="8" t="str">
        <x:v>Set expected ranges by species or protocol. Observations compare against these limits.</x:v>
      </x:c>
      <x:c r="D2" s="8" t="str">
        <x:v>Set expected ranges by species or protocol. Observations compare against these limits.</x:v>
      </x:c>
      <x:c r="E2" s="8" t="str">
        <x:v>Set expected ranges by species or protocol. Observations compare against these limits.</x:v>
      </x:c>
      <x:c r="F2" s="8" t="str">
        <x:v>Set expected ranges by species or protocol. Observations compare against these limits.</x:v>
      </x:c>
      <x:c r="G2" s="8" t="str">
        <x:v>Set expected ranges by species or protocol. Observations compare against these limits.</x:v>
      </x:c>
      <x:c r="H2" s="8" t="str">
        <x:v>Set expected ranges by species or protocol. Observations compare against these limits.</x:v>
      </x:c>
    </x:row>
    <x:row r="3"/>
    <x:row r="4" ht="15" hidden="0" customHeight="1">
      <x:c r="A4" s="64" t="str">
        <x:v>Species</x:v>
      </x:c>
      <x:c r="B4" s="65" t="str">
        <x:v>Protocol ID</x:v>
      </x:c>
      <x:c r="C4" s="65" t="str">
        <x:v>Parameter</x:v>
      </x:c>
      <x:c r="D4" s="65" t="str">
        <x:v>Unit</x:v>
      </x:c>
      <x:c r="E4" s="65" t="str">
        <x:v>Min</x:v>
      </x:c>
      <x:c r="F4" s="65" t="str">
        <x:v>Target</x:v>
      </x:c>
      <x:c r="G4" s="65" t="str">
        <x:v>Max</x:v>
      </x:c>
      <x:c r="H4" s="65" t="str">
        <x:v>Observation Method</x:v>
      </x:c>
      <x:c r="I4" s="65" t="str">
        <x:v>Alert If</x:v>
      </x:c>
      <x:c r="J4" s="66" t="str">
        <x:v>Notes</x:v>
      </x:c>
    </x:row>
    <x:row r="5" ht="15" hidden="0" customHeight="1">
      <x:c r="A5" s="42" t="str">
        <x:v>Mouse</x:v>
      </x:c>
      <x:c r="B5" s="43" t="str">
        <x:v>P-001</x:v>
      </x:c>
      <x:c r="C5" s="43" t="str">
        <x:v>Weight</x:v>
      </x:c>
      <x:c r="D5" s="43" t="str">
        <x:v>g</x:v>
      </x:c>
      <x:c r="E5" s="70" t="n">
        <x:v>18</x:v>
      </x:c>
      <x:c r="F5" s="70" t="n">
        <x:v>24</x:v>
      </x:c>
      <x:c r="G5" s="70" t="n">
        <x:v>32</x:v>
      </x:c>
      <x:c r="H5" s="43" t="str">
        <x:v>Scale</x:v>
      </x:c>
      <x:c r="I5" s="43" t="str">
        <x:v>Outside min/max</x:v>
      </x:c>
      <x:c r="J5" s="44" t="str">
        <x:v>Adjust by strain and age</x:v>
      </x:c>
    </x:row>
    <x:row r="6" ht="15" hidden="0" customHeight="1">
      <x:c r="A6" s="45" t="str">
        <x:v>Mouse</x:v>
      </x:c>
      <x:c r="B6" s="46" t="str">
        <x:v>P-001</x:v>
      </x:c>
      <x:c r="C6" s="46" t="str">
        <x:v>Food Intake</x:v>
      </x:c>
      <x:c r="D6" s="46" t="str">
        <x:v>g/day</x:v>
      </x:c>
      <x:c r="E6" s="71" t="n">
        <x:v>3</x:v>
      </x:c>
      <x:c r="F6" s="71" t="n">
        <x:v>4.5</x:v>
      </x:c>
      <x:c r="G6" s="71" t="n">
        <x:v>6</x:v>
      </x:c>
      <x:c r="H6" s="46" t="str">
        <x:v>Cage measurement</x:v>
      </x:c>
      <x:c r="I6" s="46" t="str">
        <x:v>Outside min/max</x:v>
      </x:c>
      <x:c r="J6" s="47" t="str"/>
    </x:row>
    <x:row r="7" ht="15" hidden="0" customHeight="1">
      <x:c r="A7" s="45" t="str">
        <x:v>Mouse</x:v>
      </x:c>
      <x:c r="B7" s="46" t="str">
        <x:v>P-001</x:v>
      </x:c>
      <x:c r="C7" s="46" t="str">
        <x:v>Water Intake</x:v>
      </x:c>
      <x:c r="D7" s="46" t="str">
        <x:v>mL/day</x:v>
      </x:c>
      <x:c r="E7" s="71" t="n">
        <x:v>4</x:v>
      </x:c>
      <x:c r="F7" s="71" t="n">
        <x:v>6</x:v>
      </x:c>
      <x:c r="G7" s="71" t="n">
        <x:v>9</x:v>
      </x:c>
      <x:c r="H7" s="46" t="str">
        <x:v>Bottle measurement</x:v>
      </x:c>
      <x:c r="I7" s="46" t="str">
        <x:v>Outside min/max</x:v>
      </x:c>
      <x:c r="J7" s="47" t="str"/>
    </x:row>
    <x:row r="8" ht="15" hidden="0" customHeight="1">
      <x:c r="A8" s="45" t="str">
        <x:v>Mouse</x:v>
      </x:c>
      <x:c r="B8" s="46" t="str">
        <x:v>P-001</x:v>
      </x:c>
      <x:c r="C8" s="46" t="str">
        <x:v>Temperature</x:v>
      </x:c>
      <x:c r="D8" s="46" t="str">
        <x:v>C</x:v>
      </x:c>
      <x:c r="E8" s="71" t="n">
        <x:v>36.5</x:v>
      </x:c>
      <x:c r="F8" s="71" t="n">
        <x:v>37.5</x:v>
      </x:c>
      <x:c r="G8" s="71" t="n">
        <x:v>38.5</x:v>
      </x:c>
      <x:c r="H8" s="46" t="str">
        <x:v>Rectal/approved device</x:v>
      </x:c>
      <x:c r="I8" s="46" t="str">
        <x:v>Outside min/max</x:v>
      </x:c>
      <x:c r="J8" s="47" t="str"/>
    </x:row>
    <x:row r="9" ht="15" hidden="0" customHeight="1">
      <x:c r="A9" s="45" t="str">
        <x:v>Mouse</x:v>
      </x:c>
      <x:c r="B9" s="46" t="str">
        <x:v>P-001</x:v>
      </x:c>
      <x:c r="C9" s="46" t="str">
        <x:v>Behavior Score</x:v>
      </x:c>
      <x:c r="D9" s="46" t="str">
        <x:v>0-5</x:v>
      </x:c>
      <x:c r="E9" s="71" t="n">
        <x:v>0</x:v>
      </x:c>
      <x:c r="F9" s="71" t="n">
        <x:v>1</x:v>
      </x:c>
      <x:c r="G9" s="71" t="n">
        <x:v>2</x:v>
      </x:c>
      <x:c r="H9" s="46" t="str">
        <x:v>Observation scale</x:v>
      </x:c>
      <x:c r="I9" s="46" t="str">
        <x:v>Above max</x:v>
      </x:c>
      <x:c r="J9" s="47" t="str">
        <x:v>0 normal, 5 severe</x:v>
      </x:c>
    </x:row>
    <x:row r="10" ht="15" hidden="0" customHeight="1">
      <x:c r="A10" s="45" t="str">
        <x:v>Rat</x:v>
      </x:c>
      <x:c r="B10" s="46" t="str">
        <x:v>P-002</x:v>
      </x:c>
      <x:c r="C10" s="46" t="str">
        <x:v>Weight</x:v>
      </x:c>
      <x:c r="D10" s="46" t="str">
        <x:v>g</x:v>
      </x:c>
      <x:c r="E10" s="71" t="n">
        <x:v>160</x:v>
      </x:c>
      <x:c r="F10" s="71" t="n">
        <x:v>200</x:v>
      </x:c>
      <x:c r="G10" s="71" t="n">
        <x:v>260</x:v>
      </x:c>
      <x:c r="H10" s="46" t="str">
        <x:v>Scale</x:v>
      </x:c>
      <x:c r="I10" s="46" t="str">
        <x:v>Outside min/max</x:v>
      </x:c>
      <x:c r="J10" s="47" t="str"/>
    </x:row>
    <x:row r="11" ht="15" hidden="0" customHeight="1">
      <x:c r="A11" s="45" t="str">
        <x:v>Rat</x:v>
      </x:c>
      <x:c r="B11" s="46" t="str">
        <x:v>P-002</x:v>
      </x:c>
      <x:c r="C11" s="46" t="str">
        <x:v>Food Intake</x:v>
      </x:c>
      <x:c r="D11" s="46" t="str">
        <x:v>g/day</x:v>
      </x:c>
      <x:c r="E11" s="71" t="n">
        <x:v>15</x:v>
      </x:c>
      <x:c r="F11" s="71" t="n">
        <x:v>20</x:v>
      </x:c>
      <x:c r="G11" s="71" t="n">
        <x:v>30</x:v>
      </x:c>
      <x:c r="H11" s="46" t="str">
        <x:v>Cage measurement</x:v>
      </x:c>
      <x:c r="I11" s="46" t="str">
        <x:v>Outside min/max</x:v>
      </x:c>
      <x:c r="J11" s="47" t="str"/>
    </x:row>
    <x:row r="12" ht="15" hidden="0" customHeight="1">
      <x:c r="A12" s="45" t="str">
        <x:v>Rat</x:v>
      </x:c>
      <x:c r="B12" s="46" t="str">
        <x:v>P-002</x:v>
      </x:c>
      <x:c r="C12" s="46" t="str">
        <x:v>Water Intake</x:v>
      </x:c>
      <x:c r="D12" s="46" t="str">
        <x:v>mL/day</x:v>
      </x:c>
      <x:c r="E12" s="71" t="n">
        <x:v>20</x:v>
      </x:c>
      <x:c r="F12" s="71" t="n">
        <x:v>30</x:v>
      </x:c>
      <x:c r="G12" s="71" t="n">
        <x:v>45</x:v>
      </x:c>
      <x:c r="H12" s="46" t="str">
        <x:v>Bottle measurement</x:v>
      </x:c>
      <x:c r="I12" s="46" t="str">
        <x:v>Outside min/max</x:v>
      </x:c>
      <x:c r="J12" s="47" t="str"/>
    </x:row>
    <x:row r="13" ht="15" hidden="0" customHeight="1">
      <x:c r="A13" s="45" t="str">
        <x:v>Rat</x:v>
      </x:c>
      <x:c r="B13" s="46" t="str">
        <x:v>P-002</x:v>
      </x:c>
      <x:c r="C13" s="46" t="str">
        <x:v>Temperature</x:v>
      </x:c>
      <x:c r="D13" s="46" t="str">
        <x:v>C</x:v>
      </x:c>
      <x:c r="E13" s="71" t="n">
        <x:v>36.7</x:v>
      </x:c>
      <x:c r="F13" s="71" t="n">
        <x:v>37.7</x:v>
      </x:c>
      <x:c r="G13" s="71" t="n">
        <x:v>38.7</x:v>
      </x:c>
      <x:c r="H13" s="46" t="str">
        <x:v>Rectal/approved device</x:v>
      </x:c>
      <x:c r="I13" s="46" t="str">
        <x:v>Outside min/max</x:v>
      </x:c>
      <x:c r="J13" s="47" t="str"/>
    </x:row>
    <x:row r="14" ht="15" hidden="0" customHeight="1">
      <x:c r="A14" s="45" t="str">
        <x:v>Rat</x:v>
      </x:c>
      <x:c r="B14" s="46" t="str">
        <x:v>P-002</x:v>
      </x:c>
      <x:c r="C14" s="46" t="str">
        <x:v>Behavior Score</x:v>
      </x:c>
      <x:c r="D14" s="46" t="str">
        <x:v>0-5</x:v>
      </x:c>
      <x:c r="E14" s="71" t="n">
        <x:v>0</x:v>
      </x:c>
      <x:c r="F14" s="71" t="n">
        <x:v>1</x:v>
      </x:c>
      <x:c r="G14" s="71" t="n">
        <x:v>2</x:v>
      </x:c>
      <x:c r="H14" s="46" t="str">
        <x:v>Observation scale</x:v>
      </x:c>
      <x:c r="I14" s="46" t="str">
        <x:v>Above max</x:v>
      </x:c>
      <x:c r="J14" s="47" t="str">
        <x:v>0 normal, 5 severe</x:v>
      </x:c>
    </x:row>
    <x:row r="15" ht="15" hidden="0" customHeight="1">
      <x:c r="A15" s="45" t="str"/>
      <x:c r="B15" s="46" t="str"/>
      <x:c r="C15" s="46" t="str"/>
      <x:c r="D15" s="46" t="str"/>
      <x:c r="E15" s="71"/>
      <x:c r="F15" s="71"/>
      <x:c r="G15" s="71"/>
      <x:c r="H15" s="46" t="str"/>
      <x:c r="I15" s="46" t="str"/>
      <x:c r="J15" s="47" t="str"/>
    </x:row>
    <x:row r="16" ht="15" hidden="0" customHeight="1">
      <x:c r="A16" s="45" t="str"/>
      <x:c r="B16" s="46" t="str"/>
      <x:c r="C16" s="46" t="str"/>
      <x:c r="D16" s="46" t="str"/>
      <x:c r="E16" s="71"/>
      <x:c r="F16" s="71"/>
      <x:c r="G16" s="71"/>
      <x:c r="H16" s="46" t="str"/>
      <x:c r="I16" s="46" t="str"/>
      <x:c r="J16" s="47" t="str"/>
    </x:row>
    <x:row r="17" ht="15" hidden="0" customHeight="1">
      <x:c r="A17" s="45"/>
      <x:c r="B17" s="46"/>
      <x:c r="C17" s="46"/>
      <x:c r="D17" s="46"/>
      <x:c r="E17" s="71"/>
      <x:c r="F17" s="71"/>
      <x:c r="G17" s="71"/>
      <x:c r="H17" s="46"/>
      <x:c r="I17" s="46"/>
      <x:c r="J17" s="47"/>
    </x:row>
    <x:row r="18" ht="15" hidden="0" customHeight="1">
      <x:c r="A18" s="45"/>
      <x:c r="B18" s="46"/>
      <x:c r="C18" s="46"/>
      <x:c r="D18" s="46"/>
      <x:c r="E18" s="71"/>
      <x:c r="F18" s="71"/>
      <x:c r="G18" s="71"/>
      <x:c r="H18" s="46"/>
      <x:c r="I18" s="46"/>
      <x:c r="J18" s="47"/>
    </x:row>
    <x:row r="19" ht="15" hidden="0" customHeight="1">
      <x:c r="A19" s="45"/>
      <x:c r="B19" s="46"/>
      <x:c r="C19" s="46"/>
      <x:c r="D19" s="46"/>
      <x:c r="E19" s="71"/>
      <x:c r="F19" s="71"/>
      <x:c r="G19" s="71"/>
      <x:c r="H19" s="46"/>
      <x:c r="I19" s="46"/>
      <x:c r="J19" s="47"/>
    </x:row>
    <x:row r="20" ht="15" hidden="0" customHeight="1">
      <x:c r="A20" s="45"/>
      <x:c r="B20" s="46"/>
      <x:c r="C20" s="46"/>
      <x:c r="D20" s="46"/>
      <x:c r="E20" s="71"/>
      <x:c r="F20" s="71"/>
      <x:c r="G20" s="71"/>
      <x:c r="H20" s="46"/>
      <x:c r="I20" s="46"/>
      <x:c r="J20" s="47"/>
    </x:row>
    <x:row r="21" ht="15" hidden="0" customHeight="1">
      <x:c r="A21" s="45"/>
      <x:c r="B21" s="46"/>
      <x:c r="C21" s="46"/>
      <x:c r="D21" s="46"/>
      <x:c r="E21" s="71"/>
      <x:c r="F21" s="71"/>
      <x:c r="G21" s="71"/>
      <x:c r="H21" s="46"/>
      <x:c r="I21" s="46"/>
      <x:c r="J21" s="47"/>
    </x:row>
    <x:row r="22" ht="15" hidden="0" customHeight="1">
      <x:c r="A22" s="45"/>
      <x:c r="B22" s="46"/>
      <x:c r="C22" s="46"/>
      <x:c r="D22" s="46"/>
      <x:c r="E22" s="71"/>
      <x:c r="F22" s="71"/>
      <x:c r="G22" s="71"/>
      <x:c r="H22" s="46"/>
      <x:c r="I22" s="46"/>
      <x:c r="J22" s="47"/>
    </x:row>
    <x:row r="23" ht="15" hidden="0" customHeight="1">
      <x:c r="A23" s="45"/>
      <x:c r="B23" s="46"/>
      <x:c r="C23" s="46"/>
      <x:c r="D23" s="46"/>
      <x:c r="E23" s="71"/>
      <x:c r="F23" s="71"/>
      <x:c r="G23" s="71"/>
      <x:c r="H23" s="46"/>
      <x:c r="I23" s="46"/>
      <x:c r="J23" s="47"/>
    </x:row>
    <x:row r="24" ht="15" hidden="0" customHeight="1">
      <x:c r="A24" s="45"/>
      <x:c r="B24" s="46"/>
      <x:c r="C24" s="46"/>
      <x:c r="D24" s="46"/>
      <x:c r="E24" s="71"/>
      <x:c r="F24" s="71"/>
      <x:c r="G24" s="71"/>
      <x:c r="H24" s="46"/>
      <x:c r="I24" s="46"/>
      <x:c r="J24" s="47"/>
    </x:row>
    <x:row r="25" ht="15" hidden="0" customHeight="1">
      <x:c r="A25" s="45"/>
      <x:c r="B25" s="46"/>
      <x:c r="C25" s="46"/>
      <x:c r="D25" s="46"/>
      <x:c r="E25" s="71"/>
      <x:c r="F25" s="71"/>
      <x:c r="G25" s="71"/>
      <x:c r="H25" s="46"/>
      <x:c r="I25" s="46"/>
      <x:c r="J25" s="47"/>
    </x:row>
    <x:row r="26" ht="15" hidden="0" customHeight="1">
      <x:c r="A26" s="45"/>
      <x:c r="B26" s="46"/>
      <x:c r="C26" s="46"/>
      <x:c r="D26" s="46"/>
      <x:c r="E26" s="71"/>
      <x:c r="F26" s="71"/>
      <x:c r="G26" s="71"/>
      <x:c r="H26" s="46"/>
      <x:c r="I26" s="46"/>
      <x:c r="J26" s="47"/>
    </x:row>
    <x:row r="27" ht="15" hidden="0" customHeight="1">
      <x:c r="A27" s="45"/>
      <x:c r="B27" s="46"/>
      <x:c r="C27" s="46"/>
      <x:c r="D27" s="46"/>
      <x:c r="E27" s="71"/>
      <x:c r="F27" s="71"/>
      <x:c r="G27" s="71"/>
      <x:c r="H27" s="46"/>
      <x:c r="I27" s="46"/>
      <x:c r="J27" s="47"/>
    </x:row>
    <x:row r="28" ht="15" hidden="0" customHeight="1">
      <x:c r="A28" s="45"/>
      <x:c r="B28" s="46"/>
      <x:c r="C28" s="46"/>
      <x:c r="D28" s="46"/>
      <x:c r="E28" s="71"/>
      <x:c r="F28" s="71"/>
      <x:c r="G28" s="71"/>
      <x:c r="H28" s="46"/>
      <x:c r="I28" s="46"/>
      <x:c r="J28" s="47"/>
    </x:row>
    <x:row r="29" ht="15" hidden="0" customHeight="1">
      <x:c r="A29" s="45"/>
      <x:c r="B29" s="46"/>
      <x:c r="C29" s="46"/>
      <x:c r="D29" s="46"/>
      <x:c r="E29" s="71"/>
      <x:c r="F29" s="71"/>
      <x:c r="G29" s="71"/>
      <x:c r="H29" s="46"/>
      <x:c r="I29" s="46"/>
      <x:c r="J29" s="47"/>
    </x:row>
    <x:row r="30" ht="15" hidden="0" customHeight="1">
      <x:c r="A30" s="45"/>
      <x:c r="B30" s="46"/>
      <x:c r="C30" s="46"/>
      <x:c r="D30" s="46"/>
      <x:c r="E30" s="71"/>
      <x:c r="F30" s="71"/>
      <x:c r="G30" s="71"/>
      <x:c r="H30" s="46"/>
      <x:c r="I30" s="46"/>
      <x:c r="J30" s="47"/>
    </x:row>
    <x:row r="31" ht="15" hidden="0" customHeight="1">
      <x:c r="A31" s="45"/>
      <x:c r="B31" s="46"/>
      <x:c r="C31" s="46"/>
      <x:c r="D31" s="46"/>
      <x:c r="E31" s="71"/>
      <x:c r="F31" s="71"/>
      <x:c r="G31" s="71"/>
      <x:c r="H31" s="46"/>
      <x:c r="I31" s="46"/>
      <x:c r="J31" s="47"/>
    </x:row>
    <x:row r="32" ht="15" hidden="0" customHeight="1">
      <x:c r="A32" s="45"/>
      <x:c r="B32" s="46"/>
      <x:c r="C32" s="46"/>
      <x:c r="D32" s="46"/>
      <x:c r="E32" s="71"/>
      <x:c r="F32" s="71"/>
      <x:c r="G32" s="71"/>
      <x:c r="H32" s="46"/>
      <x:c r="I32" s="46"/>
      <x:c r="J32" s="47"/>
    </x:row>
    <x:row r="33" ht="15" hidden="0" customHeight="1">
      <x:c r="A33" s="45"/>
      <x:c r="B33" s="46"/>
      <x:c r="C33" s="46"/>
      <x:c r="D33" s="46"/>
      <x:c r="E33" s="71"/>
      <x:c r="F33" s="71"/>
      <x:c r="G33" s="71"/>
      <x:c r="H33" s="46"/>
      <x:c r="I33" s="46"/>
      <x:c r="J33" s="47"/>
    </x:row>
    <x:row r="34" ht="15" hidden="0" customHeight="1">
      <x:c r="A34" s="45"/>
      <x:c r="B34" s="46"/>
      <x:c r="C34" s="46"/>
      <x:c r="D34" s="46"/>
      <x:c r="E34" s="71"/>
      <x:c r="F34" s="71"/>
      <x:c r="G34" s="71"/>
      <x:c r="H34" s="46"/>
      <x:c r="I34" s="46"/>
      <x:c r="J34" s="47"/>
    </x:row>
    <x:row r="35" ht="15" hidden="0" customHeight="1">
      <x:c r="A35" s="45"/>
      <x:c r="B35" s="46"/>
      <x:c r="C35" s="46"/>
      <x:c r="D35" s="46"/>
      <x:c r="E35" s="71"/>
      <x:c r="F35" s="71"/>
      <x:c r="G35" s="71"/>
      <x:c r="H35" s="46"/>
      <x:c r="I35" s="46"/>
      <x:c r="J35" s="47"/>
    </x:row>
    <x:row r="36" ht="15" hidden="0" customHeight="1">
      <x:c r="A36" s="45"/>
      <x:c r="B36" s="46"/>
      <x:c r="C36" s="46"/>
      <x:c r="D36" s="46"/>
      <x:c r="E36" s="71"/>
      <x:c r="F36" s="71"/>
      <x:c r="G36" s="71"/>
      <x:c r="H36" s="46"/>
      <x:c r="I36" s="46"/>
      <x:c r="J36" s="47"/>
    </x:row>
    <x:row r="37" ht="15" hidden="0" customHeight="1">
      <x:c r="A37" s="45"/>
      <x:c r="B37" s="46"/>
      <x:c r="C37" s="46"/>
      <x:c r="D37" s="46"/>
      <x:c r="E37" s="71"/>
      <x:c r="F37" s="71"/>
      <x:c r="G37" s="71"/>
      <x:c r="H37" s="46"/>
      <x:c r="I37" s="46"/>
      <x:c r="J37" s="47"/>
    </x:row>
    <x:row r="38" ht="15" hidden="0" customHeight="1">
      <x:c r="A38" s="45"/>
      <x:c r="B38" s="46"/>
      <x:c r="C38" s="46"/>
      <x:c r="D38" s="46"/>
      <x:c r="E38" s="71"/>
      <x:c r="F38" s="71"/>
      <x:c r="G38" s="71"/>
      <x:c r="H38" s="46"/>
      <x:c r="I38" s="46"/>
      <x:c r="J38" s="47"/>
    </x:row>
    <x:row r="39" ht="15" hidden="0" customHeight="1">
      <x:c r="A39" s="45"/>
      <x:c r="B39" s="46"/>
      <x:c r="C39" s="46"/>
      <x:c r="D39" s="46"/>
      <x:c r="E39" s="71"/>
      <x:c r="F39" s="71"/>
      <x:c r="G39" s="71"/>
      <x:c r="H39" s="46"/>
      <x:c r="I39" s="46"/>
      <x:c r="J39" s="47"/>
    </x:row>
    <x:row r="40" ht="15" hidden="0" customHeight="1">
      <x:c r="A40" s="45"/>
      <x:c r="B40" s="46"/>
      <x:c r="C40" s="46"/>
      <x:c r="D40" s="46"/>
      <x:c r="E40" s="71"/>
      <x:c r="F40" s="71"/>
      <x:c r="G40" s="71"/>
      <x:c r="H40" s="46"/>
      <x:c r="I40" s="46"/>
      <x:c r="J40" s="47"/>
    </x:row>
    <x:row r="41" ht="15" hidden="0" customHeight="1">
      <x:c r="A41" s="45"/>
      <x:c r="B41" s="46"/>
      <x:c r="C41" s="46"/>
      <x:c r="D41" s="46"/>
      <x:c r="E41" s="71"/>
      <x:c r="F41" s="71"/>
      <x:c r="G41" s="71"/>
      <x:c r="H41" s="46"/>
      <x:c r="I41" s="46"/>
      <x:c r="J41" s="47"/>
    </x:row>
    <x:row r="42" ht="15" hidden="0" customHeight="1">
      <x:c r="A42" s="45"/>
      <x:c r="B42" s="46"/>
      <x:c r="C42" s="46"/>
      <x:c r="D42" s="46"/>
      <x:c r="E42" s="71"/>
      <x:c r="F42" s="71"/>
      <x:c r="G42" s="71"/>
      <x:c r="H42" s="46"/>
      <x:c r="I42" s="46"/>
      <x:c r="J42" s="47"/>
    </x:row>
    <x:row r="43" ht="15" hidden="0" customHeight="1">
      <x:c r="A43" s="45"/>
      <x:c r="B43" s="46"/>
      <x:c r="C43" s="46"/>
      <x:c r="D43" s="46"/>
      <x:c r="E43" s="71"/>
      <x:c r="F43" s="71"/>
      <x:c r="G43" s="71"/>
      <x:c r="H43" s="46"/>
      <x:c r="I43" s="46"/>
      <x:c r="J43" s="47"/>
    </x:row>
    <x:row r="44" ht="15" hidden="0" customHeight="1">
      <x:c r="A44" s="45"/>
      <x:c r="B44" s="46"/>
      <x:c r="C44" s="46"/>
      <x:c r="D44" s="46"/>
      <x:c r="E44" s="71"/>
      <x:c r="F44" s="71"/>
      <x:c r="G44" s="71"/>
      <x:c r="H44" s="46"/>
      <x:c r="I44" s="46"/>
      <x:c r="J44" s="47"/>
    </x:row>
    <x:row r="45" ht="15" hidden="0" customHeight="1">
      <x:c r="A45" s="45"/>
      <x:c r="B45" s="46"/>
      <x:c r="C45" s="46"/>
      <x:c r="D45" s="46"/>
      <x:c r="E45" s="71"/>
      <x:c r="F45" s="71"/>
      <x:c r="G45" s="71"/>
      <x:c r="H45" s="46"/>
      <x:c r="I45" s="46"/>
      <x:c r="J45" s="47"/>
    </x:row>
    <x:row r="46" ht="15" hidden="0" customHeight="1">
      <x:c r="A46" s="45"/>
      <x:c r="B46" s="46"/>
      <x:c r="C46" s="46"/>
      <x:c r="D46" s="46"/>
      <x:c r="E46" s="71"/>
      <x:c r="F46" s="71"/>
      <x:c r="G46" s="71"/>
      <x:c r="H46" s="46"/>
      <x:c r="I46" s="46"/>
      <x:c r="J46" s="47"/>
    </x:row>
    <x:row r="47" ht="15" hidden="0" customHeight="1">
      <x:c r="A47" s="45"/>
      <x:c r="B47" s="46"/>
      <x:c r="C47" s="46"/>
      <x:c r="D47" s="46"/>
      <x:c r="E47" s="71"/>
      <x:c r="F47" s="71"/>
      <x:c r="G47" s="71"/>
      <x:c r="H47" s="46"/>
      <x:c r="I47" s="46"/>
      <x:c r="J47" s="47"/>
    </x:row>
    <x:row r="48" ht="15" hidden="0" customHeight="1">
      <x:c r="A48" s="45"/>
      <x:c r="B48" s="46"/>
      <x:c r="C48" s="46"/>
      <x:c r="D48" s="46"/>
      <x:c r="E48" s="71"/>
      <x:c r="F48" s="71"/>
      <x:c r="G48" s="71"/>
      <x:c r="H48" s="46"/>
      <x:c r="I48" s="46"/>
      <x:c r="J48" s="47"/>
    </x:row>
    <x:row r="49" ht="15" hidden="0" customHeight="1">
      <x:c r="A49" s="45"/>
      <x:c r="B49" s="46"/>
      <x:c r="C49" s="46"/>
      <x:c r="D49" s="46"/>
      <x:c r="E49" s="71"/>
      <x:c r="F49" s="71"/>
      <x:c r="G49" s="71"/>
      <x:c r="H49" s="46"/>
      <x:c r="I49" s="46"/>
      <x:c r="J49" s="47"/>
    </x:row>
    <x:row r="50" ht="15" hidden="0" customHeight="1">
      <x:c r="A50" s="45"/>
      <x:c r="B50" s="46"/>
      <x:c r="C50" s="46"/>
      <x:c r="D50" s="46"/>
      <x:c r="E50" s="71"/>
      <x:c r="F50" s="71"/>
      <x:c r="G50" s="71"/>
      <x:c r="H50" s="46"/>
      <x:c r="I50" s="46"/>
      <x:c r="J50" s="47"/>
    </x:row>
    <x:row r="51" ht="15" hidden="0" customHeight="1">
      <x:c r="A51" s="45"/>
      <x:c r="B51" s="46"/>
      <x:c r="C51" s="46"/>
      <x:c r="D51" s="46"/>
      <x:c r="E51" s="71"/>
      <x:c r="F51" s="71"/>
      <x:c r="G51" s="71"/>
      <x:c r="H51" s="46"/>
      <x:c r="I51" s="46"/>
      <x:c r="J51" s="47"/>
    </x:row>
    <x:row r="52" ht="15" hidden="0" customHeight="1">
      <x:c r="A52" s="45"/>
      <x:c r="B52" s="46"/>
      <x:c r="C52" s="46"/>
      <x:c r="D52" s="46"/>
      <x:c r="E52" s="71"/>
      <x:c r="F52" s="71"/>
      <x:c r="G52" s="71"/>
      <x:c r="H52" s="46"/>
      <x:c r="I52" s="46"/>
      <x:c r="J52" s="47"/>
    </x:row>
    <x:row r="53" ht="15" hidden="0" customHeight="1">
      <x:c r="A53" s="45"/>
      <x:c r="B53" s="46"/>
      <x:c r="C53" s="46"/>
      <x:c r="D53" s="46"/>
      <x:c r="E53" s="71"/>
      <x:c r="F53" s="71"/>
      <x:c r="G53" s="71"/>
      <x:c r="H53" s="46"/>
      <x:c r="I53" s="46"/>
      <x:c r="J53" s="47"/>
    </x:row>
    <x:row r="54" ht="15" hidden="0" customHeight="1">
      <x:c r="A54" s="45"/>
      <x:c r="B54" s="46"/>
      <x:c r="C54" s="46"/>
      <x:c r="D54" s="46"/>
      <x:c r="E54" s="71"/>
      <x:c r="F54" s="71"/>
      <x:c r="G54" s="71"/>
      <x:c r="H54" s="46"/>
      <x:c r="I54" s="46"/>
      <x:c r="J54" s="47"/>
    </x:row>
    <x:row r="55" ht="15" hidden="0" customHeight="1">
      <x:c r="A55" s="45"/>
      <x:c r="B55" s="46"/>
      <x:c r="C55" s="46"/>
      <x:c r="D55" s="46"/>
      <x:c r="E55" s="71"/>
      <x:c r="F55" s="71"/>
      <x:c r="G55" s="71"/>
      <x:c r="H55" s="46"/>
      <x:c r="I55" s="46"/>
      <x:c r="J55" s="47"/>
    </x:row>
    <x:row r="56" ht="15" hidden="0" customHeight="1">
      <x:c r="A56" s="45"/>
      <x:c r="B56" s="46"/>
      <x:c r="C56" s="46"/>
      <x:c r="D56" s="46"/>
      <x:c r="E56" s="71"/>
      <x:c r="F56" s="71"/>
      <x:c r="G56" s="71"/>
      <x:c r="H56" s="46"/>
      <x:c r="I56" s="46"/>
      <x:c r="J56" s="47"/>
    </x:row>
    <x:row r="57" ht="15" hidden="0" customHeight="1">
      <x:c r="A57" s="45"/>
      <x:c r="B57" s="46"/>
      <x:c r="C57" s="46"/>
      <x:c r="D57" s="46"/>
      <x:c r="E57" s="71"/>
      <x:c r="F57" s="71"/>
      <x:c r="G57" s="71"/>
      <x:c r="H57" s="46"/>
      <x:c r="I57" s="46"/>
      <x:c r="J57" s="47"/>
    </x:row>
    <x:row r="58" ht="15" hidden="0" customHeight="1">
      <x:c r="A58" s="45"/>
      <x:c r="B58" s="46"/>
      <x:c r="C58" s="46"/>
      <x:c r="D58" s="46"/>
      <x:c r="E58" s="71"/>
      <x:c r="F58" s="71"/>
      <x:c r="G58" s="71"/>
      <x:c r="H58" s="46"/>
      <x:c r="I58" s="46"/>
      <x:c r="J58" s="47"/>
    </x:row>
    <x:row r="59" ht="15" hidden="0" customHeight="1">
      <x:c r="A59" s="45"/>
      <x:c r="B59" s="46"/>
      <x:c r="C59" s="46"/>
      <x:c r="D59" s="46"/>
      <x:c r="E59" s="71"/>
      <x:c r="F59" s="71"/>
      <x:c r="G59" s="71"/>
      <x:c r="H59" s="46"/>
      <x:c r="I59" s="46"/>
      <x:c r="J59" s="47"/>
    </x:row>
    <x:row r="60" ht="15" hidden="0" customHeight="1">
      <x:c r="A60" s="45"/>
      <x:c r="B60" s="46"/>
      <x:c r="C60" s="46"/>
      <x:c r="D60" s="46"/>
      <x:c r="E60" s="71"/>
      <x:c r="F60" s="71"/>
      <x:c r="G60" s="71"/>
      <x:c r="H60" s="46"/>
      <x:c r="I60" s="46"/>
      <x:c r="J60" s="47"/>
    </x:row>
    <x:row r="61" ht="15" hidden="0" customHeight="1">
      <x:c r="A61" s="45"/>
      <x:c r="B61" s="46"/>
      <x:c r="C61" s="46"/>
      <x:c r="D61" s="46"/>
      <x:c r="E61" s="71"/>
      <x:c r="F61" s="71"/>
      <x:c r="G61" s="71"/>
      <x:c r="H61" s="46"/>
      <x:c r="I61" s="46"/>
      <x:c r="J61" s="47"/>
    </x:row>
    <x:row r="62" ht="15" hidden="0" customHeight="1">
      <x:c r="A62" s="45"/>
      <x:c r="B62" s="46"/>
      <x:c r="C62" s="46"/>
      <x:c r="D62" s="46"/>
      <x:c r="E62" s="71"/>
      <x:c r="F62" s="71"/>
      <x:c r="G62" s="71"/>
      <x:c r="H62" s="46"/>
      <x:c r="I62" s="46"/>
      <x:c r="J62" s="47"/>
    </x:row>
    <x:row r="63" ht="15" hidden="0" customHeight="1">
      <x:c r="A63" s="45"/>
      <x:c r="B63" s="46"/>
      <x:c r="C63" s="46"/>
      <x:c r="D63" s="46"/>
      <x:c r="E63" s="71"/>
      <x:c r="F63" s="71"/>
      <x:c r="G63" s="71"/>
      <x:c r="H63" s="46"/>
      <x:c r="I63" s="46"/>
      <x:c r="J63" s="47"/>
    </x:row>
    <x:row r="64" ht="15" hidden="0" customHeight="1">
      <x:c r="A64" s="45"/>
      <x:c r="B64" s="46"/>
      <x:c r="C64" s="46"/>
      <x:c r="D64" s="46"/>
      <x:c r="E64" s="71"/>
      <x:c r="F64" s="71"/>
      <x:c r="G64" s="71"/>
      <x:c r="H64" s="46"/>
      <x:c r="I64" s="46"/>
      <x:c r="J64" s="47"/>
    </x:row>
    <x:row r="65" ht="15" hidden="0" customHeight="1">
      <x:c r="A65" s="45"/>
      <x:c r="B65" s="46"/>
      <x:c r="C65" s="46"/>
      <x:c r="D65" s="46"/>
      <x:c r="E65" s="71"/>
      <x:c r="F65" s="71"/>
      <x:c r="G65" s="71"/>
      <x:c r="H65" s="46"/>
      <x:c r="I65" s="46"/>
      <x:c r="J65" s="47"/>
    </x:row>
    <x:row r="66" ht="15" hidden="0" customHeight="1">
      <x:c r="A66" s="45"/>
      <x:c r="B66" s="46"/>
      <x:c r="C66" s="46"/>
      <x:c r="D66" s="46"/>
      <x:c r="E66" s="71"/>
      <x:c r="F66" s="71"/>
      <x:c r="G66" s="71"/>
      <x:c r="H66" s="46"/>
      <x:c r="I66" s="46"/>
      <x:c r="J66" s="47"/>
    </x:row>
    <x:row r="67" ht="15" hidden="0" customHeight="1">
      <x:c r="A67" s="45"/>
      <x:c r="B67" s="46"/>
      <x:c r="C67" s="46"/>
      <x:c r="D67" s="46"/>
      <x:c r="E67" s="71"/>
      <x:c r="F67" s="71"/>
      <x:c r="G67" s="71"/>
      <x:c r="H67" s="46"/>
      <x:c r="I67" s="46"/>
      <x:c r="J67" s="47"/>
    </x:row>
    <x:row r="68" ht="15" hidden="0" customHeight="1">
      <x:c r="A68" s="45"/>
      <x:c r="B68" s="46"/>
      <x:c r="C68" s="46"/>
      <x:c r="D68" s="46"/>
      <x:c r="E68" s="71"/>
      <x:c r="F68" s="71"/>
      <x:c r="G68" s="71"/>
      <x:c r="H68" s="46"/>
      <x:c r="I68" s="46"/>
      <x:c r="J68" s="47"/>
    </x:row>
    <x:row r="69" ht="15" hidden="0" customHeight="1">
      <x:c r="A69" s="45"/>
      <x:c r="B69" s="46"/>
      <x:c r="C69" s="46"/>
      <x:c r="D69" s="46"/>
      <x:c r="E69" s="71"/>
      <x:c r="F69" s="71"/>
      <x:c r="G69" s="71"/>
      <x:c r="H69" s="46"/>
      <x:c r="I69" s="46"/>
      <x:c r="J69" s="47"/>
    </x:row>
    <x:row r="70" ht="15" hidden="0" customHeight="1">
      <x:c r="A70" s="45"/>
      <x:c r="B70" s="46"/>
      <x:c r="C70" s="46"/>
      <x:c r="D70" s="46"/>
      <x:c r="E70" s="71"/>
      <x:c r="F70" s="71"/>
      <x:c r="G70" s="71"/>
      <x:c r="H70" s="46"/>
      <x:c r="I70" s="46"/>
      <x:c r="J70" s="47"/>
    </x:row>
    <x:row r="71" ht="15" hidden="0" customHeight="1">
      <x:c r="A71" s="45"/>
      <x:c r="B71" s="46"/>
      <x:c r="C71" s="46"/>
      <x:c r="D71" s="46"/>
      <x:c r="E71" s="71"/>
      <x:c r="F71" s="71"/>
      <x:c r="G71" s="71"/>
      <x:c r="H71" s="46"/>
      <x:c r="I71" s="46"/>
      <x:c r="J71" s="47"/>
    </x:row>
    <x:row r="72" ht="15" hidden="0" customHeight="1">
      <x:c r="A72" s="45"/>
      <x:c r="B72" s="46"/>
      <x:c r="C72" s="46"/>
      <x:c r="D72" s="46"/>
      <x:c r="E72" s="71"/>
      <x:c r="F72" s="71"/>
      <x:c r="G72" s="71"/>
      <x:c r="H72" s="46"/>
      <x:c r="I72" s="46"/>
      <x:c r="J72" s="47"/>
    </x:row>
    <x:row r="73" ht="15" hidden="0" customHeight="1">
      <x:c r="A73" s="45"/>
      <x:c r="B73" s="46"/>
      <x:c r="C73" s="46"/>
      <x:c r="D73" s="46"/>
      <x:c r="E73" s="71"/>
      <x:c r="F73" s="71"/>
      <x:c r="G73" s="71"/>
      <x:c r="H73" s="46"/>
      <x:c r="I73" s="46"/>
      <x:c r="J73" s="47"/>
    </x:row>
    <x:row r="74" ht="15" hidden="0" customHeight="1">
      <x:c r="A74" s="45"/>
      <x:c r="B74" s="46"/>
      <x:c r="C74" s="46"/>
      <x:c r="D74" s="46"/>
      <x:c r="E74" s="71"/>
      <x:c r="F74" s="71"/>
      <x:c r="G74" s="71"/>
      <x:c r="H74" s="46"/>
      <x:c r="I74" s="46"/>
      <x:c r="J74" s="47"/>
    </x:row>
    <x:row r="75" ht="15" hidden="0" customHeight="1">
      <x:c r="A75" s="45"/>
      <x:c r="B75" s="46"/>
      <x:c r="C75" s="46"/>
      <x:c r="D75" s="46"/>
      <x:c r="E75" s="71"/>
      <x:c r="F75" s="71"/>
      <x:c r="G75" s="71"/>
      <x:c r="H75" s="46"/>
      <x:c r="I75" s="46"/>
      <x:c r="J75" s="47"/>
    </x:row>
    <x:row r="76" ht="15" hidden="0" customHeight="1">
      <x:c r="A76" s="45"/>
      <x:c r="B76" s="46"/>
      <x:c r="C76" s="46"/>
      <x:c r="D76" s="46"/>
      <x:c r="E76" s="71"/>
      <x:c r="F76" s="71"/>
      <x:c r="G76" s="71"/>
      <x:c r="H76" s="46"/>
      <x:c r="I76" s="46"/>
      <x:c r="J76" s="47"/>
    </x:row>
    <x:row r="77" ht="15" hidden="0" customHeight="1">
      <x:c r="A77" s="45"/>
      <x:c r="B77" s="46"/>
      <x:c r="C77" s="46"/>
      <x:c r="D77" s="46"/>
      <x:c r="E77" s="71"/>
      <x:c r="F77" s="71"/>
      <x:c r="G77" s="71"/>
      <x:c r="H77" s="46"/>
      <x:c r="I77" s="46"/>
      <x:c r="J77" s="47"/>
    </x:row>
    <x:row r="78" ht="15" hidden="0" customHeight="1">
      <x:c r="A78" s="45"/>
      <x:c r="B78" s="46"/>
      <x:c r="C78" s="46"/>
      <x:c r="D78" s="46"/>
      <x:c r="E78" s="71"/>
      <x:c r="F78" s="71"/>
      <x:c r="G78" s="71"/>
      <x:c r="H78" s="46"/>
      <x:c r="I78" s="46"/>
      <x:c r="J78" s="47"/>
    </x:row>
    <x:row r="79" ht="15" hidden="0" customHeight="1">
      <x:c r="A79" s="45"/>
      <x:c r="B79" s="46"/>
      <x:c r="C79" s="46"/>
      <x:c r="D79" s="46"/>
      <x:c r="E79" s="71"/>
      <x:c r="F79" s="71"/>
      <x:c r="G79" s="71"/>
      <x:c r="H79" s="46"/>
      <x:c r="I79" s="46"/>
      <x:c r="J79" s="47"/>
    </x:row>
    <x:row r="80" ht="15" hidden="0" customHeight="1">
      <x:c r="A80" s="45"/>
      <x:c r="B80" s="46"/>
      <x:c r="C80" s="46"/>
      <x:c r="D80" s="46"/>
      <x:c r="E80" s="71"/>
      <x:c r="F80" s="71"/>
      <x:c r="G80" s="71"/>
      <x:c r="H80" s="46"/>
      <x:c r="I80" s="46"/>
      <x:c r="J80" s="47"/>
    </x:row>
    <x:row r="81" ht="15" hidden="0" customHeight="1">
      <x:c r="A81" s="45"/>
      <x:c r="B81" s="46"/>
      <x:c r="C81" s="46"/>
      <x:c r="D81" s="46"/>
      <x:c r="E81" s="71"/>
      <x:c r="F81" s="71"/>
      <x:c r="G81" s="71"/>
      <x:c r="H81" s="46"/>
      <x:c r="I81" s="46"/>
      <x:c r="J81" s="47"/>
    </x:row>
    <x:row r="82" ht="15" hidden="0" customHeight="1">
      <x:c r="A82" s="45"/>
      <x:c r="B82" s="46"/>
      <x:c r="C82" s="46"/>
      <x:c r="D82" s="46"/>
      <x:c r="E82" s="71"/>
      <x:c r="F82" s="71"/>
      <x:c r="G82" s="71"/>
      <x:c r="H82" s="46"/>
      <x:c r="I82" s="46"/>
      <x:c r="J82" s="47"/>
    </x:row>
    <x:row r="83" ht="15" hidden="0" customHeight="1">
      <x:c r="A83" s="45"/>
      <x:c r="B83" s="46"/>
      <x:c r="C83" s="46"/>
      <x:c r="D83" s="46"/>
      <x:c r="E83" s="71"/>
      <x:c r="F83" s="71"/>
      <x:c r="G83" s="71"/>
      <x:c r="H83" s="46"/>
      <x:c r="I83" s="46"/>
      <x:c r="J83" s="47"/>
    </x:row>
    <x:row r="84" ht="15" hidden="0" customHeight="1">
      <x:c r="A84" s="45"/>
      <x:c r="B84" s="46"/>
      <x:c r="C84" s="46"/>
      <x:c r="D84" s="46"/>
      <x:c r="E84" s="71"/>
      <x:c r="F84" s="71"/>
      <x:c r="G84" s="71"/>
      <x:c r="H84" s="46"/>
      <x:c r="I84" s="46"/>
      <x:c r="J84" s="47"/>
    </x:row>
    <x:row r="85" ht="15" hidden="0" customHeight="1">
      <x:c r="A85" s="45"/>
      <x:c r="B85" s="46"/>
      <x:c r="C85" s="46"/>
      <x:c r="D85" s="46"/>
      <x:c r="E85" s="71"/>
      <x:c r="F85" s="71"/>
      <x:c r="G85" s="71"/>
      <x:c r="H85" s="46"/>
      <x:c r="I85" s="46"/>
      <x:c r="J85" s="47"/>
    </x:row>
    <x:row r="86" ht="15" hidden="0" customHeight="1">
      <x:c r="A86" s="45"/>
      <x:c r="B86" s="46"/>
      <x:c r="C86" s="46"/>
      <x:c r="D86" s="46"/>
      <x:c r="E86" s="71"/>
      <x:c r="F86" s="71"/>
      <x:c r="G86" s="71"/>
      <x:c r="H86" s="46"/>
      <x:c r="I86" s="46"/>
      <x:c r="J86" s="47"/>
    </x:row>
    <x:row r="87" ht="15" hidden="0" customHeight="1">
      <x:c r="A87" s="45"/>
      <x:c r="B87" s="46"/>
      <x:c r="C87" s="46"/>
      <x:c r="D87" s="46"/>
      <x:c r="E87" s="71"/>
      <x:c r="F87" s="71"/>
      <x:c r="G87" s="71"/>
      <x:c r="H87" s="46"/>
      <x:c r="I87" s="46"/>
      <x:c r="J87" s="47"/>
    </x:row>
    <x:row r="88" ht="15" hidden="0" customHeight="1">
      <x:c r="A88" s="45"/>
      <x:c r="B88" s="46"/>
      <x:c r="C88" s="46"/>
      <x:c r="D88" s="46"/>
      <x:c r="E88" s="71"/>
      <x:c r="F88" s="71"/>
      <x:c r="G88" s="71"/>
      <x:c r="H88" s="46"/>
      <x:c r="I88" s="46"/>
      <x:c r="J88" s="47"/>
    </x:row>
    <x:row r="89" ht="15" hidden="0" customHeight="1">
      <x:c r="A89" s="45"/>
      <x:c r="B89" s="46"/>
      <x:c r="C89" s="46"/>
      <x:c r="D89" s="46"/>
      <x:c r="E89" s="71"/>
      <x:c r="F89" s="71"/>
      <x:c r="G89" s="71"/>
      <x:c r="H89" s="46"/>
      <x:c r="I89" s="46"/>
      <x:c r="J89" s="47"/>
    </x:row>
    <x:row r="90" ht="15" hidden="0" customHeight="1">
      <x:c r="A90" s="45"/>
      <x:c r="B90" s="46"/>
      <x:c r="C90" s="46"/>
      <x:c r="D90" s="46"/>
      <x:c r="E90" s="71"/>
      <x:c r="F90" s="71"/>
      <x:c r="G90" s="71"/>
      <x:c r="H90" s="46"/>
      <x:c r="I90" s="46"/>
      <x:c r="J90" s="47"/>
    </x:row>
    <x:row r="91" ht="15" hidden="0" customHeight="1">
      <x:c r="A91" s="45"/>
      <x:c r="B91" s="46"/>
      <x:c r="C91" s="46"/>
      <x:c r="D91" s="46"/>
      <x:c r="E91" s="71"/>
      <x:c r="F91" s="71"/>
      <x:c r="G91" s="71"/>
      <x:c r="H91" s="46"/>
      <x:c r="I91" s="46"/>
      <x:c r="J91" s="47"/>
    </x:row>
    <x:row r="92" ht="15" hidden="0" customHeight="1">
      <x:c r="A92" s="45"/>
      <x:c r="B92" s="46"/>
      <x:c r="C92" s="46"/>
      <x:c r="D92" s="46"/>
      <x:c r="E92" s="71"/>
      <x:c r="F92" s="71"/>
      <x:c r="G92" s="71"/>
      <x:c r="H92" s="46"/>
      <x:c r="I92" s="46"/>
      <x:c r="J92" s="47"/>
    </x:row>
    <x:row r="93" ht="15" hidden="0" customHeight="1">
      <x:c r="A93" s="45"/>
      <x:c r="B93" s="46"/>
      <x:c r="C93" s="46"/>
      <x:c r="D93" s="46"/>
      <x:c r="E93" s="71"/>
      <x:c r="F93" s="71"/>
      <x:c r="G93" s="71"/>
      <x:c r="H93" s="46"/>
      <x:c r="I93" s="46"/>
      <x:c r="J93" s="47"/>
    </x:row>
    <x:row r="94" ht="15" hidden="0" customHeight="1">
      <x:c r="A94" s="45"/>
      <x:c r="B94" s="46"/>
      <x:c r="C94" s="46"/>
      <x:c r="D94" s="46"/>
      <x:c r="E94" s="71"/>
      <x:c r="F94" s="71"/>
      <x:c r="G94" s="71"/>
      <x:c r="H94" s="46"/>
      <x:c r="I94" s="46"/>
      <x:c r="J94" s="47"/>
    </x:row>
    <x:row r="95" ht="15" hidden="0" customHeight="1">
      <x:c r="A95" s="45"/>
      <x:c r="B95" s="46"/>
      <x:c r="C95" s="46"/>
      <x:c r="D95" s="46"/>
      <x:c r="E95" s="71"/>
      <x:c r="F95" s="71"/>
      <x:c r="G95" s="71"/>
      <x:c r="H95" s="46"/>
      <x:c r="I95" s="46"/>
      <x:c r="J95" s="47"/>
    </x:row>
    <x:row r="96" ht="15" hidden="0" customHeight="1">
      <x:c r="A96" s="45"/>
      <x:c r="B96" s="46"/>
      <x:c r="C96" s="46"/>
      <x:c r="D96" s="46"/>
      <x:c r="E96" s="71"/>
      <x:c r="F96" s="71"/>
      <x:c r="G96" s="71"/>
      <x:c r="H96" s="46"/>
      <x:c r="I96" s="46"/>
      <x:c r="J96" s="47"/>
    </x:row>
    <x:row r="97" ht="15" hidden="0" customHeight="1">
      <x:c r="A97" s="45"/>
      <x:c r="B97" s="46"/>
      <x:c r="C97" s="46"/>
      <x:c r="D97" s="46"/>
      <x:c r="E97" s="71"/>
      <x:c r="F97" s="71"/>
      <x:c r="G97" s="71"/>
      <x:c r="H97" s="46"/>
      <x:c r="I97" s="46"/>
      <x:c r="J97" s="47"/>
    </x:row>
    <x:row r="98" ht="15" hidden="0" customHeight="1">
      <x:c r="A98" s="45"/>
      <x:c r="B98" s="46"/>
      <x:c r="C98" s="46"/>
      <x:c r="D98" s="46"/>
      <x:c r="E98" s="71"/>
      <x:c r="F98" s="71"/>
      <x:c r="G98" s="71"/>
      <x:c r="H98" s="46"/>
      <x:c r="I98" s="46"/>
      <x:c r="J98" s="47"/>
    </x:row>
    <x:row r="99" ht="15" hidden="0" customHeight="1">
      <x:c r="A99" s="45"/>
      <x:c r="B99" s="46"/>
      <x:c r="C99" s="46"/>
      <x:c r="D99" s="46"/>
      <x:c r="E99" s="71"/>
      <x:c r="F99" s="71"/>
      <x:c r="G99" s="71"/>
      <x:c r="H99" s="46"/>
      <x:c r="I99" s="46"/>
      <x:c r="J99" s="47"/>
    </x:row>
    <x:row r="100" ht="15" hidden="0" customHeight="1">
      <x:c r="A100" s="45"/>
      <x:c r="B100" s="46"/>
      <x:c r="C100" s="46"/>
      <x:c r="D100" s="46"/>
      <x:c r="E100" s="71"/>
      <x:c r="F100" s="71"/>
      <x:c r="G100" s="71"/>
      <x:c r="H100" s="46"/>
      <x:c r="I100" s="46"/>
      <x:c r="J100" s="47"/>
    </x:row>
    <x:row r="101" ht="15" hidden="0" customHeight="1">
      <x:c r="A101" s="45"/>
      <x:c r="B101" s="46"/>
      <x:c r="C101" s="46"/>
      <x:c r="D101" s="46"/>
      <x:c r="E101" s="71"/>
      <x:c r="F101" s="71"/>
      <x:c r="G101" s="71"/>
      <x:c r="H101" s="46"/>
      <x:c r="I101" s="46"/>
      <x:c r="J101" s="47"/>
    </x:row>
    <x:row r="102" ht="15" hidden="0" customHeight="1">
      <x:c r="A102" s="45"/>
      <x:c r="B102" s="46"/>
      <x:c r="C102" s="46"/>
      <x:c r="D102" s="46"/>
      <x:c r="E102" s="71"/>
      <x:c r="F102" s="71"/>
      <x:c r="G102" s="71"/>
      <x:c r="H102" s="46"/>
      <x:c r="I102" s="46"/>
      <x:c r="J102" s="47"/>
    </x:row>
    <x:row r="103" ht="15" hidden="0" customHeight="1">
      <x:c r="A103" s="45"/>
      <x:c r="B103" s="46"/>
      <x:c r="C103" s="46"/>
      <x:c r="D103" s="46"/>
      <x:c r="E103" s="71"/>
      <x:c r="F103" s="71"/>
      <x:c r="G103" s="71"/>
      <x:c r="H103" s="46"/>
      <x:c r="I103" s="46"/>
      <x:c r="J103" s="47"/>
    </x:row>
    <x:row r="104" ht="15" hidden="0" customHeight="1">
      <x:c r="A104" s="48"/>
      <x:c r="B104" s="49"/>
      <x:c r="C104" s="49"/>
      <x:c r="D104" s="49"/>
      <x:c r="E104" s="72"/>
      <x:c r="F104" s="72"/>
      <x:c r="G104" s="72"/>
      <x:c r="H104" s="49"/>
      <x:c r="I104" s="49"/>
      <x:c r="J104" s="50"/>
    </x:row>
  </x:sheetData>
  <x:mergeCells>
    <x:mergeCell ref="A1:J1"/>
    <x:mergeCell ref="A2:H2"/>
  </x:mergeCells>
  <x:dataValidations count="1">
    <x:dataValidation type="list" sqref="A5:A104">
      <x:formula1>'Lists'!$A$5:$A$9</x:formula1>
    </x:dataValidation>
  </x:dataValidations>
  <x:pageMargins left="0.7" right="0.7" top="0.75" bottom="0.75" header="0.3" footer="0.3"/>
  <x:legacyDrawing xmlns:r="http://schemas.openxmlformats.org/officeDocument/2006/relationships" r:id="R315eee5adc084616"/>
  <x:tableParts count="1">
    <x:tablePart xmlns:r="http://schemas.openxmlformats.org/officeDocument/2006/relationships" r:id="R4bfe1db2ce5645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5" hidden="0" customWidth="1"/>
    <x:col min="17" max="17" width="15" hidden="0" customWidth="1"/>
  </x:cols>
  <x:sheetData>
    <x:row r="1" ht="19.200000762939453" hidden="0" customHeight="1">
      <x:c r="A1" s="4" t="str">
        <x:v>Daily Observations</x:v>
      </x:c>
      <x:c r="B1" s="4" t="str">
        <x:v>Daily Observations</x:v>
      </x:c>
      <x:c r="C1" s="4" t="str">
        <x:v>Daily Observations</x:v>
      </x:c>
      <x:c r="D1" s="4" t="str">
        <x:v>Daily Observations</x:v>
      </x:c>
      <x:c r="E1" s="4" t="str">
        <x:v>Daily Observations</x:v>
      </x:c>
      <x:c r="F1" s="4" t="str">
        <x:v>Daily Observations</x:v>
      </x:c>
      <x:c r="G1" s="4" t="str">
        <x:v>Daily Observations</x:v>
      </x:c>
      <x:c r="H1" s="4" t="str">
        <x:v>Daily Observations</x:v>
      </x:c>
      <x:c r="I1" s="4" t="str">
        <x:v>Daily Observations</x:v>
      </x:c>
      <x:c r="J1" s="4" t="str">
        <x:v>Daily Observations</x:v>
      </x:c>
      <x:c r="K1" s="4" t="str">
        <x:v>Daily Observations</x:v>
      </x:c>
      <x:c r="L1" s="4" t="str">
        <x:v>Daily Observations</x:v>
      </x:c>
      <x:c r="M1" s="4" t="str">
        <x:v>Daily Observations</x:v>
      </x:c>
      <x:c r="N1" s="4" t="str">
        <x:v>Daily Observations</x:v>
      </x:c>
      <x:c r="O1" s="4" t="str">
        <x:v>Daily Observations</x:v>
      </x:c>
      <x:c r="P1" s="4" t="str">
        <x:v>Daily Observations</x:v>
      </x:c>
      <x:c r="Q1" s="4" t="str">
        <x:v>Daily Observations</x:v>
      </x:c>
    </x:row>
    <x:row r="2" ht="15" hidden="0" customHeight="1">
      <x:c r="A2" s="8" t="str">
        <x:v>Enter one row per animal per observation time. Alert status is formula-driven from normal parameter ranges.</x:v>
      </x:c>
      <x:c r="B2" s="8" t="str">
        <x:v>Enter one row per animal per observation time. Alert status is formula-driven from normal parameter ranges.</x:v>
      </x:c>
      <x:c r="C2" s="8" t="str">
        <x:v>Enter one row per animal per observation time. Alert status is formula-driven from normal parameter ranges.</x:v>
      </x:c>
      <x:c r="D2" s="8" t="str">
        <x:v>Enter one row per animal per observation time. Alert status is formula-driven from normal parameter ranges.</x:v>
      </x:c>
      <x:c r="E2" s="8" t="str">
        <x:v>Enter one row per animal per observation time. Alert status is formula-driven from normal parameter ranges.</x:v>
      </x:c>
      <x:c r="F2" s="8" t="str">
        <x:v>Enter one row per animal per observation time. Alert status is formula-driven from normal parameter ranges.</x:v>
      </x:c>
      <x:c r="G2" s="8" t="str">
        <x:v>Enter one row per animal per observation time. Alert status is formula-driven from normal parameter ranges.</x:v>
      </x:c>
      <x:c r="H2" s="8" t="str">
        <x:v>Enter one row per animal per observation time. Alert status is formula-driven from normal parameter ranges.</x:v>
      </x:c>
    </x:row>
    <x:row r="3"/>
    <x:row r="4" ht="15" hidden="0" customHeight="1">
      <x:c r="A4" s="64" t="str">
        <x:v>Date</x:v>
      </x:c>
      <x:c r="B4" s="65" t="str">
        <x:v>Time</x:v>
      </x:c>
      <x:c r="C4" s="65" t="str">
        <x:v>Animal ID</x:v>
      </x:c>
      <x:c r="D4" s="65" t="str">
        <x:v>Species</x:v>
      </x:c>
      <x:c r="E4" s="65" t="str">
        <x:v>Protocol ID</x:v>
      </x:c>
      <x:c r="F4" s="65" t="str">
        <x:v>Weight (g)</x:v>
      </x:c>
      <x:c r="G4" s="65" t="str">
        <x:v>Food Intake</x:v>
      </x:c>
      <x:c r="H4" s="65" t="str">
        <x:v>Water Intake</x:v>
      </x:c>
      <x:c r="I4" s="65" t="str">
        <x:v>Temperature (C)</x:v>
      </x:c>
      <x:c r="J4" s="65" t="str">
        <x:v>Behavior Score</x:v>
      </x:c>
      <x:c r="K4" s="65" t="str">
        <x:v>Activity</x:v>
      </x:c>
      <x:c r="L4" s="65" t="str">
        <x:v>Posture/Gait</x:v>
      </x:c>
      <x:c r="M4" s="65" t="str">
        <x:v>Grooming/Coat</x:v>
      </x:c>
      <x:c r="N4" s="65" t="str">
        <x:v>Respiration</x:v>
      </x:c>
      <x:c r="O4" s="65" t="str">
        <x:v>Stool/Urine</x:v>
      </x:c>
      <x:c r="P4" s="65" t="str">
        <x:v>Observer</x:v>
      </x:c>
      <x:c r="Q4" s="66" t="str">
        <x:v>Alert</x:v>
      </x:c>
    </x:row>
    <x:row r="5" ht="15" hidden="0" customHeight="1">
      <x:c r="A5" s="73" t="n">
        <x:v>46195</x:v>
      </x:c>
      <x:c r="B5" s="43" t="str">
        <x:v>09:00</x:v>
      </x:c>
      <x:c r="C5" s="43" t="str">
        <x:v>M-001</x:v>
      </x:c>
      <x:c r="D5" s="43" t="str">
        <x:f>IFERROR(XLOOKUP(C5,'Animals'!$A$5:$A$104,'Animals'!$C$5:$C$104,""),"")</x:f>
        <x:v>Mouse</x:v>
      </x:c>
      <x:c r="E5" s="43" t="str">
        <x:f>IFERROR(XLOOKUP(C5,'Animals'!$A$5:$A$104,'Animals'!$H$5:$H$104,""),"")</x:f>
        <x:v>P-001</x:v>
      </x:c>
      <x:c r="F5" s="70" t="n">
        <x:v>22.4</x:v>
      </x:c>
      <x:c r="G5" s="70" t="n">
        <x:v>4.4</x:v>
      </x:c>
      <x:c r="H5" s="70" t="n">
        <x:v>6.2</x:v>
      </x:c>
      <x:c r="I5" s="70" t="n">
        <x:v>37.4</x:v>
      </x:c>
      <x:c r="J5" s="70" t="n">
        <x:v>1</x:v>
      </x:c>
      <x:c r="K5" s="43" t="str">
        <x:v>Normal</x:v>
      </x:c>
      <x:c r="L5" s="43" t="str">
        <x:v>Normal</x:v>
      </x:c>
      <x:c r="M5" s="43" t="str">
        <x:v>Normal</x:v>
      </x:c>
      <x:c r="N5" s="43" t="str">
        <x:v>Normal</x:v>
      </x:c>
      <x:c r="O5" s="43" t="str">
        <x:v>Normal</x:v>
      </x:c>
      <x:c r="P5" s="43" t="str">
        <x:v>User</x:v>
      </x:c>
      <x:c r="Q5" s="44" t="str">
        <x:f>IF(OR(J5&gt;IFERROR(INDEX('Normal Parameters'!$G$5:$G$104,MATCH(1,('Normal Parameters'!$A$5:$A$104=D5)*('Normal Parameters'!$B$5:$B$104=E5)*('Normal Parameters'!$C$5:$C$104="Behavior Score"),0)),99),F5&lt;IFERROR(INDEX('Normal Parameters'!$E$5:$E$104,MATCH(1,('Normal Parameters'!$A$5:$A$104=D5)*('Normal Parameters'!$B$5:$B$104=E5)*('Normal Parameters'!$C$5:$C$104="Weight"),0)),0),F5&gt;IFERROR(INDEX('Normal Parameters'!$G$5:$G$104,MATCH(1,('Normal Parameters'!$A$5:$A$104=D5)*('Normal Parameters'!$B$5:$B$104=E5)*('Normal Parameters'!$C$5:$C$104="Weight"),0)),9999),I5&lt;IFERROR(INDEX('Normal Parameters'!$E$5:$E$104,MATCH(1,('Normal Parameters'!$A$5:$A$104=D5)*('Normal Parameters'!$B$5:$B$104=E5)*('Normal Parameters'!$C$5:$C$104="Temperature"),0)),0),I5&gt;IFERROR(INDEX('Normal Parameters'!$G$5:$G$104,MATCH(1,('Normal Parameters'!$A$5:$A$104=D5)*('Normal Parameters'!$B$5:$B$104=E5)*('Normal Parameters'!$C$5:$C$104="Temperature"),0)),9999)),"Check","Normal")</x:f>
        <x:v>Normal</x:v>
      </x:c>
    </x:row>
    <x:row r="6" ht="15" hidden="0" customHeight="1">
      <x:c r="A6" s="74" t="n">
        <x:v>46195</x:v>
      </x:c>
      <x:c r="B6" s="46" t="str">
        <x:v>09:00</x:v>
      </x:c>
      <x:c r="C6" s="46" t="str">
        <x:v>M-002</x:v>
      </x:c>
      <x:c r="D6" s="46" t="str">
        <x:f>IFERROR(XLOOKUP(C6,'Animals'!$A$5:$A$104,'Animals'!$C$5:$C$104,""),"")</x:f>
        <x:v>Mouse</x:v>
      </x:c>
      <x:c r="E6" s="46" t="str">
        <x:f>IFERROR(XLOOKUP(C6,'Animals'!$A$5:$A$104,'Animals'!$H$5:$H$104,""),"")</x:f>
        <x:v>P-001</x:v>
      </x:c>
      <x:c r="F6" s="71" t="n">
        <x:v>24.1</x:v>
      </x:c>
      <x:c r="G6" s="71" t="n">
        <x:v>4.1</x:v>
      </x:c>
      <x:c r="H6" s="71" t="n">
        <x:v>5.8</x:v>
      </x:c>
      <x:c r="I6" s="71" t="n">
        <x:v>37.8</x:v>
      </x:c>
      <x:c r="J6" s="71" t="n">
        <x:v>2</x:v>
      </x:c>
      <x:c r="K6" s="46" t="str">
        <x:v>Reduced</x:v>
      </x:c>
      <x:c r="L6" s="46" t="str">
        <x:v>Normal</x:v>
      </x:c>
      <x:c r="M6" s="46" t="str">
        <x:v>Slightly ruffled</x:v>
      </x:c>
      <x:c r="N6" s="46" t="str">
        <x:v>Normal</x:v>
      </x:c>
      <x:c r="O6" s="46" t="str">
        <x:v>Normal</x:v>
      </x:c>
      <x:c r="P6" s="46" t="str">
        <x:v>User</x:v>
      </x:c>
      <x:c r="Q6" s="47" t="str">
        <x:f>IF(OR(J6&gt;IFERROR(INDEX('Normal Parameters'!$G$5:$G$104,MATCH(1,('Normal Parameters'!$A$5:$A$104=D6)*('Normal Parameters'!$B$5:$B$104=E6)*('Normal Parameters'!$C$5:$C$104="Behavior Score"),0)),99),F6&lt;IFERROR(INDEX('Normal Parameters'!$E$5:$E$104,MATCH(1,('Normal Parameters'!$A$5:$A$104=D6)*('Normal Parameters'!$B$5:$B$104=E6)*('Normal Parameters'!$C$5:$C$104="Weight"),0)),0),F6&gt;IFERROR(INDEX('Normal Parameters'!$G$5:$G$104,MATCH(1,('Normal Parameters'!$A$5:$A$104=D6)*('Normal Parameters'!$B$5:$B$104=E6)*('Normal Parameters'!$C$5:$C$104="Weight"),0)),9999),I6&lt;IFERROR(INDEX('Normal Parameters'!$E$5:$E$104,MATCH(1,('Normal Parameters'!$A$5:$A$104=D6)*('Normal Parameters'!$B$5:$B$104=E6)*('Normal Parameters'!$C$5:$C$104="Temperature"),0)),0),I6&gt;IFERROR(INDEX('Normal Parameters'!$G$5:$G$104,MATCH(1,('Normal Parameters'!$A$5:$A$104=D6)*('Normal Parameters'!$B$5:$B$104=E6)*('Normal Parameters'!$C$5:$C$104="Temperature"),0)),9999)),"Check","Normal")</x:f>
        <x:v>Normal</x:v>
      </x:c>
    </x:row>
    <x:row r="7" ht="15" hidden="0" customHeight="1">
      <x:c r="A7" s="74" t="n">
        <x:v>46195</x:v>
      </x:c>
      <x:c r="B7" s="46" t="str">
        <x:v>09:00</x:v>
      </x:c>
      <x:c r="C7" s="46" t="str">
        <x:v>R-001</x:v>
      </x:c>
      <x:c r="D7" s="46" t="str">
        <x:f>IFERROR(XLOOKUP(C7,'Animals'!$A$5:$A$104,'Animals'!$C$5:$C$104,""),"")</x:f>
        <x:v>Rat</x:v>
      </x:c>
      <x:c r="E7" s="46" t="str">
        <x:f>IFERROR(XLOOKUP(C7,'Animals'!$A$5:$A$104,'Animals'!$H$5:$H$104,""),"")</x:f>
        <x:v>P-002</x:v>
      </x:c>
      <x:c r="F7" s="71" t="n">
        <x:v>184.5</x:v>
      </x:c>
      <x:c r="G7" s="71" t="n">
        <x:v>19</x:v>
      </x:c>
      <x:c r="H7" s="71" t="n">
        <x:v>31</x:v>
      </x:c>
      <x:c r="I7" s="71" t="n">
        <x:v>37.5</x:v>
      </x:c>
      <x:c r="J7" s="71" t="n">
        <x:v>1</x:v>
      </x:c>
      <x:c r="K7" s="46" t="str">
        <x:v>Normal</x:v>
      </x:c>
      <x:c r="L7" s="46" t="str">
        <x:v>Normal</x:v>
      </x:c>
      <x:c r="M7" s="46" t="str">
        <x:v>Normal</x:v>
      </x:c>
      <x:c r="N7" s="46" t="str">
        <x:v>Normal</x:v>
      </x:c>
      <x:c r="O7" s="46" t="str">
        <x:v>Normal</x:v>
      </x:c>
      <x:c r="P7" s="46" t="str">
        <x:v>User</x:v>
      </x:c>
      <x:c r="Q7" s="47" t="str">
        <x:f>IF(OR(J7&gt;IFERROR(INDEX('Normal Parameters'!$G$5:$G$104,MATCH(1,('Normal Parameters'!$A$5:$A$104=D7)*('Normal Parameters'!$B$5:$B$104=E7)*('Normal Parameters'!$C$5:$C$104="Behavior Score"),0)),99),F7&lt;IFERROR(INDEX('Normal Parameters'!$E$5:$E$104,MATCH(1,('Normal Parameters'!$A$5:$A$104=D7)*('Normal Parameters'!$B$5:$B$104=E7)*('Normal Parameters'!$C$5:$C$104="Weight"),0)),0),F7&gt;IFERROR(INDEX('Normal Parameters'!$G$5:$G$104,MATCH(1,('Normal Parameters'!$A$5:$A$104=D7)*('Normal Parameters'!$B$5:$B$104=E7)*('Normal Parameters'!$C$5:$C$104="Weight"),0)),9999),I7&lt;IFERROR(INDEX('Normal Parameters'!$E$5:$E$104,MATCH(1,('Normal Parameters'!$A$5:$A$104=D7)*('Normal Parameters'!$B$5:$B$104=E7)*('Normal Parameters'!$C$5:$C$104="Temperature"),0)),0),I7&gt;IFERROR(INDEX('Normal Parameters'!$G$5:$G$104,MATCH(1,('Normal Parameters'!$A$5:$A$104=D7)*('Normal Parameters'!$B$5:$B$104=E7)*('Normal Parameters'!$C$5:$C$104="Temperature"),0)),9999)),"Check","Normal")</x:f>
        <x:v>Normal</x:v>
      </x:c>
    </x:row>
    <x:row r="8" ht="15" hidden="0" customHeight="1">
      <x:c r="A8" s="74"/>
      <x:c r="B8" s="46"/>
      <x:c r="C8" s="46"/>
      <x:c r="D8" s="46" t="str">
        <x:f>IFERROR(XLOOKUP(C8,'Animals'!$A$5:$A$104,'Animals'!$C$5:$C$104,""),"")</x:f>
      </x:c>
      <x:c r="E8" s="46" t="str">
        <x:f>IFERROR(XLOOKUP(C8,'Animals'!$A$5:$A$104,'Animals'!$H$5:$H$104,""),"")</x:f>
      </x:c>
      <x:c r="F8" s="71"/>
      <x:c r="G8" s="71"/>
      <x:c r="H8" s="71"/>
      <x:c r="I8" s="71"/>
      <x:c r="J8" s="71"/>
      <x:c r="K8" s="46"/>
      <x:c r="L8" s="46"/>
      <x:c r="M8" s="46"/>
      <x:c r="N8" s="46"/>
      <x:c r="O8" s="46"/>
      <x:c r="P8" s="46"/>
      <x:c r="Q8" s="47" t="str">
        <x:f>IF(C8="","",IF(OR(J8&gt;IFERROR(INDEX('Normal Parameters'!$G$5:$G$104,MATCH(1,('Normal Parameters'!$A$5:$A$104=D8)*('Normal Parameters'!$B$5:$B$104=E8)*('Normal Parameters'!$C$5:$C$104="Behavior Score"),0)),99),F8&lt;IFERROR(INDEX('Normal Parameters'!$E$5:$E$104,MATCH(1,('Normal Parameters'!$A$5:$A$104=D8)*('Normal Parameters'!$B$5:$B$104=E8)*('Normal Parameters'!$C$5:$C$104="Weight"),0)),0),F8&gt;IFERROR(INDEX('Normal Parameters'!$G$5:$G$104,MATCH(1,('Normal Parameters'!$A$5:$A$104=D8)*('Normal Parameters'!$B$5:$B$104=E8)*('Normal Parameters'!$C$5:$C$104="Weight"),0)),9999),I8&lt;IFERROR(INDEX('Normal Parameters'!$E$5:$E$104,MATCH(1,('Normal Parameters'!$A$5:$A$104=D8)*('Normal Parameters'!$B$5:$B$104=E8)*('Normal Parameters'!$C$5:$C$104="Temperature"),0)),0),I8&gt;IFERROR(INDEX('Normal Parameters'!$G$5:$G$104,MATCH(1,('Normal Parameters'!$A$5:$A$104=D8)*('Normal Parameters'!$B$5:$B$104=E8)*('Normal Parameters'!$C$5:$C$104="Temperature"),0)),9999)),"Check","Normal"))</x:f>
      </x:c>
    </x:row>
    <x:row r="9" ht="15" hidden="0" customHeight="1">
      <x:c r="A9" s="74"/>
      <x:c r="B9" s="46"/>
      <x:c r="C9" s="46"/>
      <x:c r="D9" s="46" t="str">
        <x:f>IFERROR(XLOOKUP(C9,'Animals'!$A$5:$A$104,'Animals'!$C$5:$C$104,""),"")</x:f>
      </x:c>
      <x:c r="E9" s="46" t="str">
        <x:f>IFERROR(XLOOKUP(C9,'Animals'!$A$5:$A$104,'Animals'!$H$5:$H$104,""),"")</x:f>
      </x:c>
      <x:c r="F9" s="71"/>
      <x:c r="G9" s="71"/>
      <x:c r="H9" s="71"/>
      <x:c r="I9" s="71"/>
      <x:c r="J9" s="71"/>
      <x:c r="K9" s="46"/>
      <x:c r="L9" s="46"/>
      <x:c r="M9" s="46"/>
      <x:c r="N9" s="46"/>
      <x:c r="O9" s="46"/>
      <x:c r="P9" s="46"/>
      <x:c r="Q9" s="47" t="str">
        <x:f>IF(C9="","",IF(OR(J9&gt;IFERROR(INDEX('Normal Parameters'!$G$5:$G$104,MATCH(1,('Normal Parameters'!$A$5:$A$104=D9)*('Normal Parameters'!$B$5:$B$104=E9)*('Normal Parameters'!$C$5:$C$104="Behavior Score"),0)),99),F9&lt;IFERROR(INDEX('Normal Parameters'!$E$5:$E$104,MATCH(1,('Normal Parameters'!$A$5:$A$104=D9)*('Normal Parameters'!$B$5:$B$104=E9)*('Normal Parameters'!$C$5:$C$104="Weight"),0)),0),F9&gt;IFERROR(INDEX('Normal Parameters'!$G$5:$G$104,MATCH(1,('Normal Parameters'!$A$5:$A$104=D9)*('Normal Parameters'!$B$5:$B$104=E9)*('Normal Parameters'!$C$5:$C$104="Weight"),0)),9999),I9&lt;IFERROR(INDEX('Normal Parameters'!$E$5:$E$104,MATCH(1,('Normal Parameters'!$A$5:$A$104=D9)*('Normal Parameters'!$B$5:$B$104=E9)*('Normal Parameters'!$C$5:$C$104="Temperature"),0)),0),I9&gt;IFERROR(INDEX('Normal Parameters'!$G$5:$G$104,MATCH(1,('Normal Parameters'!$A$5:$A$104=D9)*('Normal Parameters'!$B$5:$B$104=E9)*('Normal Parameters'!$C$5:$C$104="Temperature"),0)),9999)),"Check","Normal"))</x:f>
      </x:c>
    </x:row>
    <x:row r="10" ht="15" hidden="0" customHeight="1">
      <x:c r="A10" s="74"/>
      <x:c r="B10" s="46"/>
      <x:c r="C10" s="46"/>
      <x:c r="D10" s="46" t="str">
        <x:f>IFERROR(XLOOKUP(C10,'Animals'!$A$5:$A$104,'Animals'!$C$5:$C$104,""),"")</x:f>
      </x:c>
      <x:c r="E10" s="46" t="str">
        <x:f>IFERROR(XLOOKUP(C10,'Animals'!$A$5:$A$104,'Animals'!$H$5:$H$104,""),"")</x:f>
      </x:c>
      <x:c r="F10" s="71"/>
      <x:c r="G10" s="71"/>
      <x:c r="H10" s="71"/>
      <x:c r="I10" s="71"/>
      <x:c r="J10" s="71"/>
      <x:c r="K10" s="46"/>
      <x:c r="L10" s="46"/>
      <x:c r="M10" s="46"/>
      <x:c r="N10" s="46"/>
      <x:c r="O10" s="46"/>
      <x:c r="P10" s="46"/>
      <x:c r="Q10" s="47" t="str">
        <x:f>IF(C10="","",IF(OR(J10&gt;IFERROR(INDEX('Normal Parameters'!$G$5:$G$104,MATCH(1,('Normal Parameters'!$A$5:$A$104=D10)*('Normal Parameters'!$B$5:$B$104=E10)*('Normal Parameters'!$C$5:$C$104="Behavior Score"),0)),99),F10&lt;IFERROR(INDEX('Normal Parameters'!$E$5:$E$104,MATCH(1,('Normal Parameters'!$A$5:$A$104=D10)*('Normal Parameters'!$B$5:$B$104=E10)*('Normal Parameters'!$C$5:$C$104="Weight"),0)),0),F10&gt;IFERROR(INDEX('Normal Parameters'!$G$5:$G$104,MATCH(1,('Normal Parameters'!$A$5:$A$104=D10)*('Normal Parameters'!$B$5:$B$104=E10)*('Normal Parameters'!$C$5:$C$104="Weight"),0)),9999),I10&lt;IFERROR(INDEX('Normal Parameters'!$E$5:$E$104,MATCH(1,('Normal Parameters'!$A$5:$A$104=D10)*('Normal Parameters'!$B$5:$B$104=E10)*('Normal Parameters'!$C$5:$C$104="Temperature"),0)),0),I10&gt;IFERROR(INDEX('Normal Parameters'!$G$5:$G$104,MATCH(1,('Normal Parameters'!$A$5:$A$104=D10)*('Normal Parameters'!$B$5:$B$104=E10)*('Normal Parameters'!$C$5:$C$104="Temperature"),0)),9999)),"Check","Normal"))</x:f>
      </x:c>
    </x:row>
    <x:row r="11" ht="15" hidden="0" customHeight="1">
      <x:c r="A11" s="74"/>
      <x:c r="B11" s="46"/>
      <x:c r="C11" s="46"/>
      <x:c r="D11" s="46" t="str">
        <x:f>IFERROR(XLOOKUP(C11,'Animals'!$A$5:$A$104,'Animals'!$C$5:$C$104,""),"")</x:f>
      </x:c>
      <x:c r="E11" s="46" t="str">
        <x:f>IFERROR(XLOOKUP(C11,'Animals'!$A$5:$A$104,'Animals'!$H$5:$H$104,""),"")</x:f>
      </x:c>
      <x:c r="F11" s="71"/>
      <x:c r="G11" s="71"/>
      <x:c r="H11" s="71"/>
      <x:c r="I11" s="71"/>
      <x:c r="J11" s="71"/>
      <x:c r="K11" s="46"/>
      <x:c r="L11" s="46"/>
      <x:c r="M11" s="46"/>
      <x:c r="N11" s="46"/>
      <x:c r="O11" s="46"/>
      <x:c r="P11" s="46"/>
      <x:c r="Q11" s="47" t="str">
        <x:f>IF(C11="","",IF(OR(J11&gt;IFERROR(INDEX('Normal Parameters'!$G$5:$G$104,MATCH(1,('Normal Parameters'!$A$5:$A$104=D11)*('Normal Parameters'!$B$5:$B$104=E11)*('Normal Parameters'!$C$5:$C$104="Behavior Score"),0)),99),F11&lt;IFERROR(INDEX('Normal Parameters'!$E$5:$E$104,MATCH(1,('Normal Parameters'!$A$5:$A$104=D11)*('Normal Parameters'!$B$5:$B$104=E11)*('Normal Parameters'!$C$5:$C$104="Weight"),0)),0),F11&gt;IFERROR(INDEX('Normal Parameters'!$G$5:$G$104,MATCH(1,('Normal Parameters'!$A$5:$A$104=D11)*('Normal Parameters'!$B$5:$B$104=E11)*('Normal Parameters'!$C$5:$C$104="Weight"),0)),9999),I11&lt;IFERROR(INDEX('Normal Parameters'!$E$5:$E$104,MATCH(1,('Normal Parameters'!$A$5:$A$104=D11)*('Normal Parameters'!$B$5:$B$104=E11)*('Normal Parameters'!$C$5:$C$104="Temperature"),0)),0),I11&gt;IFERROR(INDEX('Normal Parameters'!$G$5:$G$104,MATCH(1,('Normal Parameters'!$A$5:$A$104=D11)*('Normal Parameters'!$B$5:$B$104=E11)*('Normal Parameters'!$C$5:$C$104="Temperature"),0)),9999)),"Check","Normal"))</x:f>
      </x:c>
    </x:row>
    <x:row r="12" ht="15" hidden="0" customHeight="1">
      <x:c r="A12" s="74"/>
      <x:c r="B12" s="46"/>
      <x:c r="C12" s="46"/>
      <x:c r="D12" s="46" t="str">
        <x:f>IFERROR(XLOOKUP(C12,'Animals'!$A$5:$A$104,'Animals'!$C$5:$C$104,""),"")</x:f>
      </x:c>
      <x:c r="E12" s="46" t="str">
        <x:f>IFERROR(XLOOKUP(C12,'Animals'!$A$5:$A$104,'Animals'!$H$5:$H$104,""),"")</x:f>
      </x:c>
      <x:c r="F12" s="71"/>
      <x:c r="G12" s="71"/>
      <x:c r="H12" s="71"/>
      <x:c r="I12" s="71"/>
      <x:c r="J12" s="71"/>
      <x:c r="K12" s="46"/>
      <x:c r="L12" s="46"/>
      <x:c r="M12" s="46"/>
      <x:c r="N12" s="46"/>
      <x:c r="O12" s="46"/>
      <x:c r="P12" s="46"/>
      <x:c r="Q12" s="47" t="str">
        <x:f>IF(C12="","",IF(OR(J12&gt;IFERROR(INDEX('Normal Parameters'!$G$5:$G$104,MATCH(1,('Normal Parameters'!$A$5:$A$104=D12)*('Normal Parameters'!$B$5:$B$104=E12)*('Normal Parameters'!$C$5:$C$104="Behavior Score"),0)),99),F12&lt;IFERROR(INDEX('Normal Parameters'!$E$5:$E$104,MATCH(1,('Normal Parameters'!$A$5:$A$104=D12)*('Normal Parameters'!$B$5:$B$104=E12)*('Normal Parameters'!$C$5:$C$104="Weight"),0)),0),F12&gt;IFERROR(INDEX('Normal Parameters'!$G$5:$G$104,MATCH(1,('Normal Parameters'!$A$5:$A$104=D12)*('Normal Parameters'!$B$5:$B$104=E12)*('Normal Parameters'!$C$5:$C$104="Weight"),0)),9999),I12&lt;IFERROR(INDEX('Normal Parameters'!$E$5:$E$104,MATCH(1,('Normal Parameters'!$A$5:$A$104=D12)*('Normal Parameters'!$B$5:$B$104=E12)*('Normal Parameters'!$C$5:$C$104="Temperature"),0)),0),I12&gt;IFERROR(INDEX('Normal Parameters'!$G$5:$G$104,MATCH(1,('Normal Parameters'!$A$5:$A$104=D12)*('Normal Parameters'!$B$5:$B$104=E12)*('Normal Parameters'!$C$5:$C$104="Temperature"),0)),9999)),"Check","Normal"))</x:f>
      </x:c>
    </x:row>
    <x:row r="13" ht="15" hidden="0" customHeight="1">
      <x:c r="A13" s="74"/>
      <x:c r="B13" s="46"/>
      <x:c r="C13" s="46"/>
      <x:c r="D13" s="46" t="str">
        <x:f>IFERROR(XLOOKUP(C13,'Animals'!$A$5:$A$104,'Animals'!$C$5:$C$104,""),"")</x:f>
      </x:c>
      <x:c r="E13" s="46" t="str">
        <x:f>IFERROR(XLOOKUP(C13,'Animals'!$A$5:$A$104,'Animals'!$H$5:$H$104,""),"")</x:f>
      </x:c>
      <x:c r="F13" s="71"/>
      <x:c r="G13" s="71"/>
      <x:c r="H13" s="71"/>
      <x:c r="I13" s="71"/>
      <x:c r="J13" s="71"/>
      <x:c r="K13" s="46"/>
      <x:c r="L13" s="46"/>
      <x:c r="M13" s="46"/>
      <x:c r="N13" s="46"/>
      <x:c r="O13" s="46"/>
      <x:c r="P13" s="46"/>
      <x:c r="Q13" s="47" t="str">
        <x:f>IF(C13="","",IF(OR(J13&gt;IFERROR(INDEX('Normal Parameters'!$G$5:$G$104,MATCH(1,('Normal Parameters'!$A$5:$A$104=D13)*('Normal Parameters'!$B$5:$B$104=E13)*('Normal Parameters'!$C$5:$C$104="Behavior Score"),0)),99),F13&lt;IFERROR(INDEX('Normal Parameters'!$E$5:$E$104,MATCH(1,('Normal Parameters'!$A$5:$A$104=D13)*('Normal Parameters'!$B$5:$B$104=E13)*('Normal Parameters'!$C$5:$C$104="Weight"),0)),0),F13&gt;IFERROR(INDEX('Normal Parameters'!$G$5:$G$104,MATCH(1,('Normal Parameters'!$A$5:$A$104=D13)*('Normal Parameters'!$B$5:$B$104=E13)*('Normal Parameters'!$C$5:$C$104="Weight"),0)),9999),I13&lt;IFERROR(INDEX('Normal Parameters'!$E$5:$E$104,MATCH(1,('Normal Parameters'!$A$5:$A$104=D13)*('Normal Parameters'!$B$5:$B$104=E13)*('Normal Parameters'!$C$5:$C$104="Temperature"),0)),0),I13&gt;IFERROR(INDEX('Normal Parameters'!$G$5:$G$104,MATCH(1,('Normal Parameters'!$A$5:$A$104=D13)*('Normal Parameters'!$B$5:$B$104=E13)*('Normal Parameters'!$C$5:$C$104="Temperature"),0)),9999)),"Check","Normal"))</x:f>
      </x:c>
    </x:row>
    <x:row r="14" ht="15" hidden="0" customHeight="1">
      <x:c r="A14" s="74"/>
      <x:c r="B14" s="46"/>
      <x:c r="C14" s="46"/>
      <x:c r="D14" s="46" t="str">
        <x:f>IFERROR(XLOOKUP(C14,'Animals'!$A$5:$A$104,'Animals'!$C$5:$C$104,""),"")</x:f>
      </x:c>
      <x:c r="E14" s="46" t="str">
        <x:f>IFERROR(XLOOKUP(C14,'Animals'!$A$5:$A$104,'Animals'!$H$5:$H$104,""),"")</x:f>
      </x:c>
      <x:c r="F14" s="71"/>
      <x:c r="G14" s="71"/>
      <x:c r="H14" s="71"/>
      <x:c r="I14" s="71"/>
      <x:c r="J14" s="71"/>
      <x:c r="K14" s="46"/>
      <x:c r="L14" s="46"/>
      <x:c r="M14" s="46"/>
      <x:c r="N14" s="46"/>
      <x:c r="O14" s="46"/>
      <x:c r="P14" s="46"/>
      <x:c r="Q14" s="47" t="str">
        <x:f>IF(C14="","",IF(OR(J14&gt;IFERROR(INDEX('Normal Parameters'!$G$5:$G$104,MATCH(1,('Normal Parameters'!$A$5:$A$104=D14)*('Normal Parameters'!$B$5:$B$104=E14)*('Normal Parameters'!$C$5:$C$104="Behavior Score"),0)),99),F14&lt;IFERROR(INDEX('Normal Parameters'!$E$5:$E$104,MATCH(1,('Normal Parameters'!$A$5:$A$104=D14)*('Normal Parameters'!$B$5:$B$104=E14)*('Normal Parameters'!$C$5:$C$104="Weight"),0)),0),F14&gt;IFERROR(INDEX('Normal Parameters'!$G$5:$G$104,MATCH(1,('Normal Parameters'!$A$5:$A$104=D14)*('Normal Parameters'!$B$5:$B$104=E14)*('Normal Parameters'!$C$5:$C$104="Weight"),0)),9999),I14&lt;IFERROR(INDEX('Normal Parameters'!$E$5:$E$104,MATCH(1,('Normal Parameters'!$A$5:$A$104=D14)*('Normal Parameters'!$B$5:$B$104=E14)*('Normal Parameters'!$C$5:$C$104="Temperature"),0)),0),I14&gt;IFERROR(INDEX('Normal Parameters'!$G$5:$G$104,MATCH(1,('Normal Parameters'!$A$5:$A$104=D14)*('Normal Parameters'!$B$5:$B$104=E14)*('Normal Parameters'!$C$5:$C$104="Temperature"),0)),9999)),"Check","Normal"))</x:f>
      </x:c>
    </x:row>
    <x:row r="15" ht="15" hidden="0" customHeight="1">
      <x:c r="A15" s="74"/>
      <x:c r="B15" s="46"/>
      <x:c r="C15" s="46"/>
      <x:c r="D15" s="46" t="str">
        <x:f>IFERROR(XLOOKUP(C15,'Animals'!$A$5:$A$104,'Animals'!$C$5:$C$104,""),"")</x:f>
      </x:c>
      <x:c r="E15" s="46" t="str">
        <x:f>IFERROR(XLOOKUP(C15,'Animals'!$A$5:$A$104,'Animals'!$H$5:$H$104,""),"")</x:f>
      </x:c>
      <x:c r="F15" s="71"/>
      <x:c r="G15" s="71"/>
      <x:c r="H15" s="71"/>
      <x:c r="I15" s="71"/>
      <x:c r="J15" s="71"/>
      <x:c r="K15" s="46"/>
      <x:c r="L15" s="46"/>
      <x:c r="M15" s="46"/>
      <x:c r="N15" s="46"/>
      <x:c r="O15" s="46"/>
      <x:c r="P15" s="46"/>
      <x:c r="Q15" s="47" t="str">
        <x:f>IF(C15="","",IF(OR(J15&gt;IFERROR(INDEX('Normal Parameters'!$G$5:$G$104,MATCH(1,('Normal Parameters'!$A$5:$A$104=D15)*('Normal Parameters'!$B$5:$B$104=E15)*('Normal Parameters'!$C$5:$C$104="Behavior Score"),0)),99),F15&lt;IFERROR(INDEX('Normal Parameters'!$E$5:$E$104,MATCH(1,('Normal Parameters'!$A$5:$A$104=D15)*('Normal Parameters'!$B$5:$B$104=E15)*('Normal Parameters'!$C$5:$C$104="Weight"),0)),0),F15&gt;IFERROR(INDEX('Normal Parameters'!$G$5:$G$104,MATCH(1,('Normal Parameters'!$A$5:$A$104=D15)*('Normal Parameters'!$B$5:$B$104=E15)*('Normal Parameters'!$C$5:$C$104="Weight"),0)),9999),I15&lt;IFERROR(INDEX('Normal Parameters'!$E$5:$E$104,MATCH(1,('Normal Parameters'!$A$5:$A$104=D15)*('Normal Parameters'!$B$5:$B$104=E15)*('Normal Parameters'!$C$5:$C$104="Temperature"),0)),0),I15&gt;IFERROR(INDEX('Normal Parameters'!$G$5:$G$104,MATCH(1,('Normal Parameters'!$A$5:$A$104=D15)*('Normal Parameters'!$B$5:$B$104=E15)*('Normal Parameters'!$C$5:$C$104="Temperature"),0)),9999)),"Check","Normal"))</x:f>
      </x:c>
    </x:row>
    <x:row r="16" ht="15" hidden="0" customHeight="1">
      <x:c r="A16" s="74"/>
      <x:c r="B16" s="46"/>
      <x:c r="C16" s="46"/>
      <x:c r="D16" s="46" t="str">
        <x:f>IFERROR(XLOOKUP(C16,'Animals'!$A$5:$A$104,'Animals'!$C$5:$C$104,""),"")</x:f>
      </x:c>
      <x:c r="E16" s="46" t="str">
        <x:f>IFERROR(XLOOKUP(C16,'Animals'!$A$5:$A$104,'Animals'!$H$5:$H$104,""),"")</x:f>
      </x:c>
      <x:c r="F16" s="71"/>
      <x:c r="G16" s="71"/>
      <x:c r="H16" s="71"/>
      <x:c r="I16" s="71"/>
      <x:c r="J16" s="71"/>
      <x:c r="K16" s="46"/>
      <x:c r="L16" s="46"/>
      <x:c r="M16" s="46"/>
      <x:c r="N16" s="46"/>
      <x:c r="O16" s="46"/>
      <x:c r="P16" s="46"/>
      <x:c r="Q16" s="47" t="str">
        <x:f>IF(C16="","",IF(OR(J16&gt;IFERROR(INDEX('Normal Parameters'!$G$5:$G$104,MATCH(1,('Normal Parameters'!$A$5:$A$104=D16)*('Normal Parameters'!$B$5:$B$104=E16)*('Normal Parameters'!$C$5:$C$104="Behavior Score"),0)),99),F16&lt;IFERROR(INDEX('Normal Parameters'!$E$5:$E$104,MATCH(1,('Normal Parameters'!$A$5:$A$104=D16)*('Normal Parameters'!$B$5:$B$104=E16)*('Normal Parameters'!$C$5:$C$104="Weight"),0)),0),F16&gt;IFERROR(INDEX('Normal Parameters'!$G$5:$G$104,MATCH(1,('Normal Parameters'!$A$5:$A$104=D16)*('Normal Parameters'!$B$5:$B$104=E16)*('Normal Parameters'!$C$5:$C$104="Weight"),0)),9999),I16&lt;IFERROR(INDEX('Normal Parameters'!$E$5:$E$104,MATCH(1,('Normal Parameters'!$A$5:$A$104=D16)*('Normal Parameters'!$B$5:$B$104=E16)*('Normal Parameters'!$C$5:$C$104="Temperature"),0)),0),I16&gt;IFERROR(INDEX('Normal Parameters'!$G$5:$G$104,MATCH(1,('Normal Parameters'!$A$5:$A$104=D16)*('Normal Parameters'!$B$5:$B$104=E16)*('Normal Parameters'!$C$5:$C$104="Temperature"),0)),9999)),"Check","Normal"))</x:f>
      </x:c>
    </x:row>
    <x:row r="17" ht="15" hidden="0" customHeight="1">
      <x:c r="A17" s="74"/>
      <x:c r="B17" s="46"/>
      <x:c r="C17" s="46"/>
      <x:c r="D17" s="46" t="str">
        <x:f>IFERROR(XLOOKUP(C17,'Animals'!$A$5:$A$104,'Animals'!$C$5:$C$104,""),"")</x:f>
      </x:c>
      <x:c r="E17" s="46" t="str">
        <x:f>IFERROR(XLOOKUP(C17,'Animals'!$A$5:$A$104,'Animals'!$H$5:$H$104,""),"")</x:f>
      </x:c>
      <x:c r="F17" s="71"/>
      <x:c r="G17" s="71"/>
      <x:c r="H17" s="71"/>
      <x:c r="I17" s="71"/>
      <x:c r="J17" s="71"/>
      <x:c r="K17" s="46"/>
      <x:c r="L17" s="46"/>
      <x:c r="M17" s="46"/>
      <x:c r="N17" s="46"/>
      <x:c r="O17" s="46"/>
      <x:c r="P17" s="46"/>
      <x:c r="Q17" s="47" t="str">
        <x:f>IF(C17="","",IF(OR(J17&gt;IFERROR(INDEX('Normal Parameters'!$G$5:$G$104,MATCH(1,('Normal Parameters'!$A$5:$A$104=D17)*('Normal Parameters'!$B$5:$B$104=E17)*('Normal Parameters'!$C$5:$C$104="Behavior Score"),0)),99),F17&lt;IFERROR(INDEX('Normal Parameters'!$E$5:$E$104,MATCH(1,('Normal Parameters'!$A$5:$A$104=D17)*('Normal Parameters'!$B$5:$B$104=E17)*('Normal Parameters'!$C$5:$C$104="Weight"),0)),0),F17&gt;IFERROR(INDEX('Normal Parameters'!$G$5:$G$104,MATCH(1,('Normal Parameters'!$A$5:$A$104=D17)*('Normal Parameters'!$B$5:$B$104=E17)*('Normal Parameters'!$C$5:$C$104="Weight"),0)),9999),I17&lt;IFERROR(INDEX('Normal Parameters'!$E$5:$E$104,MATCH(1,('Normal Parameters'!$A$5:$A$104=D17)*('Normal Parameters'!$B$5:$B$104=E17)*('Normal Parameters'!$C$5:$C$104="Temperature"),0)),0),I17&gt;IFERROR(INDEX('Normal Parameters'!$G$5:$G$104,MATCH(1,('Normal Parameters'!$A$5:$A$104=D17)*('Normal Parameters'!$B$5:$B$104=E17)*('Normal Parameters'!$C$5:$C$104="Temperature"),0)),9999)),"Check","Normal"))</x:f>
      </x:c>
    </x:row>
    <x:row r="18" ht="15" hidden="0" customHeight="1">
      <x:c r="A18" s="74"/>
      <x:c r="B18" s="46"/>
      <x:c r="C18" s="46"/>
      <x:c r="D18" s="46" t="str">
        <x:f>IFERROR(XLOOKUP(C18,'Animals'!$A$5:$A$104,'Animals'!$C$5:$C$104,""),"")</x:f>
      </x:c>
      <x:c r="E18" s="46" t="str">
        <x:f>IFERROR(XLOOKUP(C18,'Animals'!$A$5:$A$104,'Animals'!$H$5:$H$104,""),"")</x:f>
      </x:c>
      <x:c r="F18" s="71"/>
      <x:c r="G18" s="71"/>
      <x:c r="H18" s="71"/>
      <x:c r="I18" s="71"/>
      <x:c r="J18" s="71"/>
      <x:c r="K18" s="46"/>
      <x:c r="L18" s="46"/>
      <x:c r="M18" s="46"/>
      <x:c r="N18" s="46"/>
      <x:c r="O18" s="46"/>
      <x:c r="P18" s="46"/>
      <x:c r="Q18" s="47" t="str">
        <x:f>IF(C18="","",IF(OR(J18&gt;IFERROR(INDEX('Normal Parameters'!$G$5:$G$104,MATCH(1,('Normal Parameters'!$A$5:$A$104=D18)*('Normal Parameters'!$B$5:$B$104=E18)*('Normal Parameters'!$C$5:$C$104="Behavior Score"),0)),99),F18&lt;IFERROR(INDEX('Normal Parameters'!$E$5:$E$104,MATCH(1,('Normal Parameters'!$A$5:$A$104=D18)*('Normal Parameters'!$B$5:$B$104=E18)*('Normal Parameters'!$C$5:$C$104="Weight"),0)),0),F18&gt;IFERROR(INDEX('Normal Parameters'!$G$5:$G$104,MATCH(1,('Normal Parameters'!$A$5:$A$104=D18)*('Normal Parameters'!$B$5:$B$104=E18)*('Normal Parameters'!$C$5:$C$104="Weight"),0)),9999),I18&lt;IFERROR(INDEX('Normal Parameters'!$E$5:$E$104,MATCH(1,('Normal Parameters'!$A$5:$A$104=D18)*('Normal Parameters'!$B$5:$B$104=E18)*('Normal Parameters'!$C$5:$C$104="Temperature"),0)),0),I18&gt;IFERROR(INDEX('Normal Parameters'!$G$5:$G$104,MATCH(1,('Normal Parameters'!$A$5:$A$104=D18)*('Normal Parameters'!$B$5:$B$104=E18)*('Normal Parameters'!$C$5:$C$104="Temperature"),0)),9999)),"Check","Normal"))</x:f>
      </x:c>
    </x:row>
    <x:row r="19" ht="15" hidden="0" customHeight="1">
      <x:c r="A19" s="74"/>
      <x:c r="B19" s="46"/>
      <x:c r="C19" s="46"/>
      <x:c r="D19" s="46" t="str">
        <x:f>IFERROR(XLOOKUP(C19,'Animals'!$A$5:$A$104,'Animals'!$C$5:$C$104,""),"")</x:f>
      </x:c>
      <x:c r="E19" s="46" t="str">
        <x:f>IFERROR(XLOOKUP(C19,'Animals'!$A$5:$A$104,'Animals'!$H$5:$H$104,""),"")</x:f>
      </x:c>
      <x:c r="F19" s="71"/>
      <x:c r="G19" s="71"/>
      <x:c r="H19" s="71"/>
      <x:c r="I19" s="71"/>
      <x:c r="J19" s="71"/>
      <x:c r="K19" s="46"/>
      <x:c r="L19" s="46"/>
      <x:c r="M19" s="46"/>
      <x:c r="N19" s="46"/>
      <x:c r="O19" s="46"/>
      <x:c r="P19" s="46"/>
      <x:c r="Q19" s="47" t="str">
        <x:f>IF(C19="","",IF(OR(J19&gt;IFERROR(INDEX('Normal Parameters'!$G$5:$G$104,MATCH(1,('Normal Parameters'!$A$5:$A$104=D19)*('Normal Parameters'!$B$5:$B$104=E19)*('Normal Parameters'!$C$5:$C$104="Behavior Score"),0)),99),F19&lt;IFERROR(INDEX('Normal Parameters'!$E$5:$E$104,MATCH(1,('Normal Parameters'!$A$5:$A$104=D19)*('Normal Parameters'!$B$5:$B$104=E19)*('Normal Parameters'!$C$5:$C$104="Weight"),0)),0),F19&gt;IFERROR(INDEX('Normal Parameters'!$G$5:$G$104,MATCH(1,('Normal Parameters'!$A$5:$A$104=D19)*('Normal Parameters'!$B$5:$B$104=E19)*('Normal Parameters'!$C$5:$C$104="Weight"),0)),9999),I19&lt;IFERROR(INDEX('Normal Parameters'!$E$5:$E$104,MATCH(1,('Normal Parameters'!$A$5:$A$104=D19)*('Normal Parameters'!$B$5:$B$104=E19)*('Normal Parameters'!$C$5:$C$104="Temperature"),0)),0),I19&gt;IFERROR(INDEX('Normal Parameters'!$G$5:$G$104,MATCH(1,('Normal Parameters'!$A$5:$A$104=D19)*('Normal Parameters'!$B$5:$B$104=E19)*('Normal Parameters'!$C$5:$C$104="Temperature"),0)),9999)),"Check","Normal"))</x:f>
      </x:c>
    </x:row>
    <x:row r="20" ht="15" hidden="0" customHeight="1">
      <x:c r="A20" s="74"/>
      <x:c r="B20" s="46"/>
      <x:c r="C20" s="46"/>
      <x:c r="D20" s="46" t="str">
        <x:f>IFERROR(XLOOKUP(C20,'Animals'!$A$5:$A$104,'Animals'!$C$5:$C$104,""),"")</x:f>
      </x:c>
      <x:c r="E20" s="46" t="str">
        <x:f>IFERROR(XLOOKUP(C20,'Animals'!$A$5:$A$104,'Animals'!$H$5:$H$104,""),"")</x:f>
      </x:c>
      <x:c r="F20" s="71"/>
      <x:c r="G20" s="71"/>
      <x:c r="H20" s="71"/>
      <x:c r="I20" s="71"/>
      <x:c r="J20" s="71"/>
      <x:c r="K20" s="46"/>
      <x:c r="L20" s="46"/>
      <x:c r="M20" s="46"/>
      <x:c r="N20" s="46"/>
      <x:c r="O20" s="46"/>
      <x:c r="P20" s="46"/>
      <x:c r="Q20" s="47" t="str">
        <x:f>IF(C20="","",IF(OR(J20&gt;IFERROR(INDEX('Normal Parameters'!$G$5:$G$104,MATCH(1,('Normal Parameters'!$A$5:$A$104=D20)*('Normal Parameters'!$B$5:$B$104=E20)*('Normal Parameters'!$C$5:$C$104="Behavior Score"),0)),99),F20&lt;IFERROR(INDEX('Normal Parameters'!$E$5:$E$104,MATCH(1,('Normal Parameters'!$A$5:$A$104=D20)*('Normal Parameters'!$B$5:$B$104=E20)*('Normal Parameters'!$C$5:$C$104="Weight"),0)),0),F20&gt;IFERROR(INDEX('Normal Parameters'!$G$5:$G$104,MATCH(1,('Normal Parameters'!$A$5:$A$104=D20)*('Normal Parameters'!$B$5:$B$104=E20)*('Normal Parameters'!$C$5:$C$104="Weight"),0)),9999),I20&lt;IFERROR(INDEX('Normal Parameters'!$E$5:$E$104,MATCH(1,('Normal Parameters'!$A$5:$A$104=D20)*('Normal Parameters'!$B$5:$B$104=E20)*('Normal Parameters'!$C$5:$C$104="Temperature"),0)),0),I20&gt;IFERROR(INDEX('Normal Parameters'!$G$5:$G$104,MATCH(1,('Normal Parameters'!$A$5:$A$104=D20)*('Normal Parameters'!$B$5:$B$104=E20)*('Normal Parameters'!$C$5:$C$104="Temperature"),0)),9999)),"Check","Normal"))</x:f>
      </x:c>
    </x:row>
    <x:row r="21" ht="15" hidden="0" customHeight="1">
      <x:c r="A21" s="74"/>
      <x:c r="B21" s="46"/>
      <x:c r="C21" s="46"/>
      <x:c r="D21" s="46" t="str">
        <x:f>IFERROR(XLOOKUP(C21,'Animals'!$A$5:$A$104,'Animals'!$C$5:$C$104,""),"")</x:f>
      </x:c>
      <x:c r="E21" s="46" t="str">
        <x:f>IFERROR(XLOOKUP(C21,'Animals'!$A$5:$A$104,'Animals'!$H$5:$H$104,""),"")</x:f>
      </x:c>
      <x:c r="F21" s="71"/>
      <x:c r="G21" s="71"/>
      <x:c r="H21" s="71"/>
      <x:c r="I21" s="71"/>
      <x:c r="J21" s="71"/>
      <x:c r="K21" s="46"/>
      <x:c r="L21" s="46"/>
      <x:c r="M21" s="46"/>
      <x:c r="N21" s="46"/>
      <x:c r="O21" s="46"/>
      <x:c r="P21" s="46"/>
      <x:c r="Q21" s="47" t="str">
        <x:f>IF(C21="","",IF(OR(J21&gt;IFERROR(INDEX('Normal Parameters'!$G$5:$G$104,MATCH(1,('Normal Parameters'!$A$5:$A$104=D21)*('Normal Parameters'!$B$5:$B$104=E21)*('Normal Parameters'!$C$5:$C$104="Behavior Score"),0)),99),F21&lt;IFERROR(INDEX('Normal Parameters'!$E$5:$E$104,MATCH(1,('Normal Parameters'!$A$5:$A$104=D21)*('Normal Parameters'!$B$5:$B$104=E21)*('Normal Parameters'!$C$5:$C$104="Weight"),0)),0),F21&gt;IFERROR(INDEX('Normal Parameters'!$G$5:$G$104,MATCH(1,('Normal Parameters'!$A$5:$A$104=D21)*('Normal Parameters'!$B$5:$B$104=E21)*('Normal Parameters'!$C$5:$C$104="Weight"),0)),9999),I21&lt;IFERROR(INDEX('Normal Parameters'!$E$5:$E$104,MATCH(1,('Normal Parameters'!$A$5:$A$104=D21)*('Normal Parameters'!$B$5:$B$104=E21)*('Normal Parameters'!$C$5:$C$104="Temperature"),0)),0),I21&gt;IFERROR(INDEX('Normal Parameters'!$G$5:$G$104,MATCH(1,('Normal Parameters'!$A$5:$A$104=D21)*('Normal Parameters'!$B$5:$B$104=E21)*('Normal Parameters'!$C$5:$C$104="Temperature"),0)),9999)),"Check","Normal"))</x:f>
      </x:c>
    </x:row>
    <x:row r="22" ht="15" hidden="0" customHeight="1">
      <x:c r="A22" s="74"/>
      <x:c r="B22" s="46"/>
      <x:c r="C22" s="46"/>
      <x:c r="D22" s="46" t="str">
        <x:f>IFERROR(XLOOKUP(C22,'Animals'!$A$5:$A$104,'Animals'!$C$5:$C$104,""),"")</x:f>
      </x:c>
      <x:c r="E22" s="46" t="str">
        <x:f>IFERROR(XLOOKUP(C22,'Animals'!$A$5:$A$104,'Animals'!$H$5:$H$104,""),"")</x:f>
      </x:c>
      <x:c r="F22" s="71"/>
      <x:c r="G22" s="71"/>
      <x:c r="H22" s="71"/>
      <x:c r="I22" s="71"/>
      <x:c r="J22" s="71"/>
      <x:c r="K22" s="46"/>
      <x:c r="L22" s="46"/>
      <x:c r="M22" s="46"/>
      <x:c r="N22" s="46"/>
      <x:c r="O22" s="46"/>
      <x:c r="P22" s="46"/>
      <x:c r="Q22" s="47" t="str">
        <x:f>IF(C22="","",IF(OR(J22&gt;IFERROR(INDEX('Normal Parameters'!$G$5:$G$104,MATCH(1,('Normal Parameters'!$A$5:$A$104=D22)*('Normal Parameters'!$B$5:$B$104=E22)*('Normal Parameters'!$C$5:$C$104="Behavior Score"),0)),99),F22&lt;IFERROR(INDEX('Normal Parameters'!$E$5:$E$104,MATCH(1,('Normal Parameters'!$A$5:$A$104=D22)*('Normal Parameters'!$B$5:$B$104=E22)*('Normal Parameters'!$C$5:$C$104="Weight"),0)),0),F22&gt;IFERROR(INDEX('Normal Parameters'!$G$5:$G$104,MATCH(1,('Normal Parameters'!$A$5:$A$104=D22)*('Normal Parameters'!$B$5:$B$104=E22)*('Normal Parameters'!$C$5:$C$104="Weight"),0)),9999),I22&lt;IFERROR(INDEX('Normal Parameters'!$E$5:$E$104,MATCH(1,('Normal Parameters'!$A$5:$A$104=D22)*('Normal Parameters'!$B$5:$B$104=E22)*('Normal Parameters'!$C$5:$C$104="Temperature"),0)),0),I22&gt;IFERROR(INDEX('Normal Parameters'!$G$5:$G$104,MATCH(1,('Normal Parameters'!$A$5:$A$104=D22)*('Normal Parameters'!$B$5:$B$104=E22)*('Normal Parameters'!$C$5:$C$104="Temperature"),0)),9999)),"Check","Normal"))</x:f>
      </x:c>
    </x:row>
    <x:row r="23" ht="15" hidden="0" customHeight="1">
      <x:c r="A23" s="74"/>
      <x:c r="B23" s="46"/>
      <x:c r="C23" s="46"/>
      <x:c r="D23" s="46" t="str">
        <x:f>IFERROR(XLOOKUP(C23,'Animals'!$A$5:$A$104,'Animals'!$C$5:$C$104,""),"")</x:f>
      </x:c>
      <x:c r="E23" s="46" t="str">
        <x:f>IFERROR(XLOOKUP(C23,'Animals'!$A$5:$A$104,'Animals'!$H$5:$H$104,""),"")</x:f>
      </x:c>
      <x:c r="F23" s="71"/>
      <x:c r="G23" s="71"/>
      <x:c r="H23" s="71"/>
      <x:c r="I23" s="71"/>
      <x:c r="J23" s="71"/>
      <x:c r="K23" s="46"/>
      <x:c r="L23" s="46"/>
      <x:c r="M23" s="46"/>
      <x:c r="N23" s="46"/>
      <x:c r="O23" s="46"/>
      <x:c r="P23" s="46"/>
      <x:c r="Q23" s="47" t="str">
        <x:f>IF(C23="","",IF(OR(J23&gt;IFERROR(INDEX('Normal Parameters'!$G$5:$G$104,MATCH(1,('Normal Parameters'!$A$5:$A$104=D23)*('Normal Parameters'!$B$5:$B$104=E23)*('Normal Parameters'!$C$5:$C$104="Behavior Score"),0)),99),F23&lt;IFERROR(INDEX('Normal Parameters'!$E$5:$E$104,MATCH(1,('Normal Parameters'!$A$5:$A$104=D23)*('Normal Parameters'!$B$5:$B$104=E23)*('Normal Parameters'!$C$5:$C$104="Weight"),0)),0),F23&gt;IFERROR(INDEX('Normal Parameters'!$G$5:$G$104,MATCH(1,('Normal Parameters'!$A$5:$A$104=D23)*('Normal Parameters'!$B$5:$B$104=E23)*('Normal Parameters'!$C$5:$C$104="Weight"),0)),9999),I23&lt;IFERROR(INDEX('Normal Parameters'!$E$5:$E$104,MATCH(1,('Normal Parameters'!$A$5:$A$104=D23)*('Normal Parameters'!$B$5:$B$104=E23)*('Normal Parameters'!$C$5:$C$104="Temperature"),0)),0),I23&gt;IFERROR(INDEX('Normal Parameters'!$G$5:$G$104,MATCH(1,('Normal Parameters'!$A$5:$A$104=D23)*('Normal Parameters'!$B$5:$B$104=E23)*('Normal Parameters'!$C$5:$C$104="Temperature"),0)),9999)),"Check","Normal"))</x:f>
      </x:c>
    </x:row>
    <x:row r="24" ht="15" hidden="0" customHeight="1">
      <x:c r="A24" s="74"/>
      <x:c r="B24" s="46"/>
      <x:c r="C24" s="46"/>
      <x:c r="D24" s="46" t="str">
        <x:f>IFERROR(XLOOKUP(C24,'Animals'!$A$5:$A$104,'Animals'!$C$5:$C$104,""),"")</x:f>
      </x:c>
      <x:c r="E24" s="46" t="str">
        <x:f>IFERROR(XLOOKUP(C24,'Animals'!$A$5:$A$104,'Animals'!$H$5:$H$104,""),"")</x:f>
      </x:c>
      <x:c r="F24" s="71"/>
      <x:c r="G24" s="71"/>
      <x:c r="H24" s="71"/>
      <x:c r="I24" s="71"/>
      <x:c r="J24" s="71"/>
      <x:c r="K24" s="46"/>
      <x:c r="L24" s="46"/>
      <x:c r="M24" s="46"/>
      <x:c r="N24" s="46"/>
      <x:c r="O24" s="46"/>
      <x:c r="P24" s="46"/>
      <x:c r="Q24" s="47" t="str">
        <x:f>IF(C24="","",IF(OR(J24&gt;IFERROR(INDEX('Normal Parameters'!$G$5:$G$104,MATCH(1,('Normal Parameters'!$A$5:$A$104=D24)*('Normal Parameters'!$B$5:$B$104=E24)*('Normal Parameters'!$C$5:$C$104="Behavior Score"),0)),99),F24&lt;IFERROR(INDEX('Normal Parameters'!$E$5:$E$104,MATCH(1,('Normal Parameters'!$A$5:$A$104=D24)*('Normal Parameters'!$B$5:$B$104=E24)*('Normal Parameters'!$C$5:$C$104="Weight"),0)),0),F24&gt;IFERROR(INDEX('Normal Parameters'!$G$5:$G$104,MATCH(1,('Normal Parameters'!$A$5:$A$104=D24)*('Normal Parameters'!$B$5:$B$104=E24)*('Normal Parameters'!$C$5:$C$104="Weight"),0)),9999),I24&lt;IFERROR(INDEX('Normal Parameters'!$E$5:$E$104,MATCH(1,('Normal Parameters'!$A$5:$A$104=D24)*('Normal Parameters'!$B$5:$B$104=E24)*('Normal Parameters'!$C$5:$C$104="Temperature"),0)),0),I24&gt;IFERROR(INDEX('Normal Parameters'!$G$5:$G$104,MATCH(1,('Normal Parameters'!$A$5:$A$104=D24)*('Normal Parameters'!$B$5:$B$104=E24)*('Normal Parameters'!$C$5:$C$104="Temperature"),0)),9999)),"Check","Normal"))</x:f>
      </x:c>
    </x:row>
    <x:row r="25" ht="15" hidden="0" customHeight="1">
      <x:c r="A25" s="74"/>
      <x:c r="B25" s="46"/>
      <x:c r="C25" s="46"/>
      <x:c r="D25" s="46" t="str">
        <x:f>IFERROR(XLOOKUP(C25,'Animals'!$A$5:$A$104,'Animals'!$C$5:$C$104,""),"")</x:f>
      </x:c>
      <x:c r="E25" s="46" t="str">
        <x:f>IFERROR(XLOOKUP(C25,'Animals'!$A$5:$A$104,'Animals'!$H$5:$H$104,""),"")</x:f>
      </x:c>
      <x:c r="F25" s="71"/>
      <x:c r="G25" s="71"/>
      <x:c r="H25" s="71"/>
      <x:c r="I25" s="71"/>
      <x:c r="J25" s="71"/>
      <x:c r="K25" s="46"/>
      <x:c r="L25" s="46"/>
      <x:c r="M25" s="46"/>
      <x:c r="N25" s="46"/>
      <x:c r="O25" s="46"/>
      <x:c r="P25" s="46"/>
      <x:c r="Q25" s="47" t="str">
        <x:f>IF(C25="","",IF(OR(J25&gt;IFERROR(INDEX('Normal Parameters'!$G$5:$G$104,MATCH(1,('Normal Parameters'!$A$5:$A$104=D25)*('Normal Parameters'!$B$5:$B$104=E25)*('Normal Parameters'!$C$5:$C$104="Behavior Score"),0)),99),F25&lt;IFERROR(INDEX('Normal Parameters'!$E$5:$E$104,MATCH(1,('Normal Parameters'!$A$5:$A$104=D25)*('Normal Parameters'!$B$5:$B$104=E25)*('Normal Parameters'!$C$5:$C$104="Weight"),0)),0),F25&gt;IFERROR(INDEX('Normal Parameters'!$G$5:$G$104,MATCH(1,('Normal Parameters'!$A$5:$A$104=D25)*('Normal Parameters'!$B$5:$B$104=E25)*('Normal Parameters'!$C$5:$C$104="Weight"),0)),9999),I25&lt;IFERROR(INDEX('Normal Parameters'!$E$5:$E$104,MATCH(1,('Normal Parameters'!$A$5:$A$104=D25)*('Normal Parameters'!$B$5:$B$104=E25)*('Normal Parameters'!$C$5:$C$104="Temperature"),0)),0),I25&gt;IFERROR(INDEX('Normal Parameters'!$G$5:$G$104,MATCH(1,('Normal Parameters'!$A$5:$A$104=D25)*('Normal Parameters'!$B$5:$B$104=E25)*('Normal Parameters'!$C$5:$C$104="Temperature"),0)),9999)),"Check","Normal"))</x:f>
      </x:c>
    </x:row>
    <x:row r="26" ht="15" hidden="0" customHeight="1">
      <x:c r="A26" s="74"/>
      <x:c r="B26" s="46"/>
      <x:c r="C26" s="46"/>
      <x:c r="D26" s="46" t="str">
        <x:f>IFERROR(XLOOKUP(C26,'Animals'!$A$5:$A$104,'Animals'!$C$5:$C$104,""),"")</x:f>
      </x:c>
      <x:c r="E26" s="46" t="str">
        <x:f>IFERROR(XLOOKUP(C26,'Animals'!$A$5:$A$104,'Animals'!$H$5:$H$104,""),"")</x:f>
      </x:c>
      <x:c r="F26" s="71"/>
      <x:c r="G26" s="71"/>
      <x:c r="H26" s="71"/>
      <x:c r="I26" s="71"/>
      <x:c r="J26" s="71"/>
      <x:c r="K26" s="46"/>
      <x:c r="L26" s="46"/>
      <x:c r="M26" s="46"/>
      <x:c r="N26" s="46"/>
      <x:c r="O26" s="46"/>
      <x:c r="P26" s="46"/>
      <x:c r="Q26" s="47" t="str">
        <x:f>IF(C26="","",IF(OR(J26&gt;IFERROR(INDEX('Normal Parameters'!$G$5:$G$104,MATCH(1,('Normal Parameters'!$A$5:$A$104=D26)*('Normal Parameters'!$B$5:$B$104=E26)*('Normal Parameters'!$C$5:$C$104="Behavior Score"),0)),99),F26&lt;IFERROR(INDEX('Normal Parameters'!$E$5:$E$104,MATCH(1,('Normal Parameters'!$A$5:$A$104=D26)*('Normal Parameters'!$B$5:$B$104=E26)*('Normal Parameters'!$C$5:$C$104="Weight"),0)),0),F26&gt;IFERROR(INDEX('Normal Parameters'!$G$5:$G$104,MATCH(1,('Normal Parameters'!$A$5:$A$104=D26)*('Normal Parameters'!$B$5:$B$104=E26)*('Normal Parameters'!$C$5:$C$104="Weight"),0)),9999),I26&lt;IFERROR(INDEX('Normal Parameters'!$E$5:$E$104,MATCH(1,('Normal Parameters'!$A$5:$A$104=D26)*('Normal Parameters'!$B$5:$B$104=E26)*('Normal Parameters'!$C$5:$C$104="Temperature"),0)),0),I26&gt;IFERROR(INDEX('Normal Parameters'!$G$5:$G$104,MATCH(1,('Normal Parameters'!$A$5:$A$104=D26)*('Normal Parameters'!$B$5:$B$104=E26)*('Normal Parameters'!$C$5:$C$104="Temperature"),0)),9999)),"Check","Normal"))</x:f>
      </x:c>
    </x:row>
    <x:row r="27" ht="15" hidden="0" customHeight="1">
      <x:c r="A27" s="74"/>
      <x:c r="B27" s="46"/>
      <x:c r="C27" s="46"/>
      <x:c r="D27" s="46" t="str">
        <x:f>IFERROR(XLOOKUP(C27,'Animals'!$A$5:$A$104,'Animals'!$C$5:$C$104,""),"")</x:f>
      </x:c>
      <x:c r="E27" s="46" t="str">
        <x:f>IFERROR(XLOOKUP(C27,'Animals'!$A$5:$A$104,'Animals'!$H$5:$H$104,""),"")</x:f>
      </x:c>
      <x:c r="F27" s="71"/>
      <x:c r="G27" s="71"/>
      <x:c r="H27" s="71"/>
      <x:c r="I27" s="71"/>
      <x:c r="J27" s="71"/>
      <x:c r="K27" s="46"/>
      <x:c r="L27" s="46"/>
      <x:c r="M27" s="46"/>
      <x:c r="N27" s="46"/>
      <x:c r="O27" s="46"/>
      <x:c r="P27" s="46"/>
      <x:c r="Q27" s="47" t="str">
        <x:f>IF(C27="","",IF(OR(J27&gt;IFERROR(INDEX('Normal Parameters'!$G$5:$G$104,MATCH(1,('Normal Parameters'!$A$5:$A$104=D27)*('Normal Parameters'!$B$5:$B$104=E27)*('Normal Parameters'!$C$5:$C$104="Behavior Score"),0)),99),F27&lt;IFERROR(INDEX('Normal Parameters'!$E$5:$E$104,MATCH(1,('Normal Parameters'!$A$5:$A$104=D27)*('Normal Parameters'!$B$5:$B$104=E27)*('Normal Parameters'!$C$5:$C$104="Weight"),0)),0),F27&gt;IFERROR(INDEX('Normal Parameters'!$G$5:$G$104,MATCH(1,('Normal Parameters'!$A$5:$A$104=D27)*('Normal Parameters'!$B$5:$B$104=E27)*('Normal Parameters'!$C$5:$C$104="Weight"),0)),9999),I27&lt;IFERROR(INDEX('Normal Parameters'!$E$5:$E$104,MATCH(1,('Normal Parameters'!$A$5:$A$104=D27)*('Normal Parameters'!$B$5:$B$104=E27)*('Normal Parameters'!$C$5:$C$104="Temperature"),0)),0),I27&gt;IFERROR(INDEX('Normal Parameters'!$G$5:$G$104,MATCH(1,('Normal Parameters'!$A$5:$A$104=D27)*('Normal Parameters'!$B$5:$B$104=E27)*('Normal Parameters'!$C$5:$C$104="Temperature"),0)),9999)),"Check","Normal"))</x:f>
      </x:c>
    </x:row>
    <x:row r="28" ht="15" hidden="0" customHeight="1">
      <x:c r="A28" s="74"/>
      <x:c r="B28" s="46"/>
      <x:c r="C28" s="46"/>
      <x:c r="D28" s="46" t="str">
        <x:f>IFERROR(XLOOKUP(C28,'Animals'!$A$5:$A$104,'Animals'!$C$5:$C$104,""),"")</x:f>
      </x:c>
      <x:c r="E28" s="46" t="str">
        <x:f>IFERROR(XLOOKUP(C28,'Animals'!$A$5:$A$104,'Animals'!$H$5:$H$104,""),"")</x:f>
      </x:c>
      <x:c r="F28" s="71"/>
      <x:c r="G28" s="71"/>
      <x:c r="H28" s="71"/>
      <x:c r="I28" s="71"/>
      <x:c r="J28" s="71"/>
      <x:c r="K28" s="46"/>
      <x:c r="L28" s="46"/>
      <x:c r="M28" s="46"/>
      <x:c r="N28" s="46"/>
      <x:c r="O28" s="46"/>
      <x:c r="P28" s="46"/>
      <x:c r="Q28" s="47" t="str">
        <x:f>IF(C28="","",IF(OR(J28&gt;IFERROR(INDEX('Normal Parameters'!$G$5:$G$104,MATCH(1,('Normal Parameters'!$A$5:$A$104=D28)*('Normal Parameters'!$B$5:$B$104=E28)*('Normal Parameters'!$C$5:$C$104="Behavior Score"),0)),99),F28&lt;IFERROR(INDEX('Normal Parameters'!$E$5:$E$104,MATCH(1,('Normal Parameters'!$A$5:$A$104=D28)*('Normal Parameters'!$B$5:$B$104=E28)*('Normal Parameters'!$C$5:$C$104="Weight"),0)),0),F28&gt;IFERROR(INDEX('Normal Parameters'!$G$5:$G$104,MATCH(1,('Normal Parameters'!$A$5:$A$104=D28)*('Normal Parameters'!$B$5:$B$104=E28)*('Normal Parameters'!$C$5:$C$104="Weight"),0)),9999),I28&lt;IFERROR(INDEX('Normal Parameters'!$E$5:$E$104,MATCH(1,('Normal Parameters'!$A$5:$A$104=D28)*('Normal Parameters'!$B$5:$B$104=E28)*('Normal Parameters'!$C$5:$C$104="Temperature"),0)),0),I28&gt;IFERROR(INDEX('Normal Parameters'!$G$5:$G$104,MATCH(1,('Normal Parameters'!$A$5:$A$104=D28)*('Normal Parameters'!$B$5:$B$104=E28)*('Normal Parameters'!$C$5:$C$104="Temperature"),0)),9999)),"Check","Normal"))</x:f>
      </x:c>
    </x:row>
    <x:row r="29" ht="15" hidden="0" customHeight="1">
      <x:c r="A29" s="74"/>
      <x:c r="B29" s="46"/>
      <x:c r="C29" s="46"/>
      <x:c r="D29" s="46" t="str">
        <x:f>IFERROR(XLOOKUP(C29,'Animals'!$A$5:$A$104,'Animals'!$C$5:$C$104,""),"")</x:f>
      </x:c>
      <x:c r="E29" s="46" t="str">
        <x:f>IFERROR(XLOOKUP(C29,'Animals'!$A$5:$A$104,'Animals'!$H$5:$H$104,""),"")</x:f>
      </x:c>
      <x:c r="F29" s="71"/>
      <x:c r="G29" s="71"/>
      <x:c r="H29" s="71"/>
      <x:c r="I29" s="71"/>
      <x:c r="J29" s="71"/>
      <x:c r="K29" s="46"/>
      <x:c r="L29" s="46"/>
      <x:c r="M29" s="46"/>
      <x:c r="N29" s="46"/>
      <x:c r="O29" s="46"/>
      <x:c r="P29" s="46"/>
      <x:c r="Q29" s="47" t="str">
        <x:f>IF(C29="","",IF(OR(J29&gt;IFERROR(INDEX('Normal Parameters'!$G$5:$G$104,MATCH(1,('Normal Parameters'!$A$5:$A$104=D29)*('Normal Parameters'!$B$5:$B$104=E29)*('Normal Parameters'!$C$5:$C$104="Behavior Score"),0)),99),F29&lt;IFERROR(INDEX('Normal Parameters'!$E$5:$E$104,MATCH(1,('Normal Parameters'!$A$5:$A$104=D29)*('Normal Parameters'!$B$5:$B$104=E29)*('Normal Parameters'!$C$5:$C$104="Weight"),0)),0),F29&gt;IFERROR(INDEX('Normal Parameters'!$G$5:$G$104,MATCH(1,('Normal Parameters'!$A$5:$A$104=D29)*('Normal Parameters'!$B$5:$B$104=E29)*('Normal Parameters'!$C$5:$C$104="Weight"),0)),9999),I29&lt;IFERROR(INDEX('Normal Parameters'!$E$5:$E$104,MATCH(1,('Normal Parameters'!$A$5:$A$104=D29)*('Normal Parameters'!$B$5:$B$104=E29)*('Normal Parameters'!$C$5:$C$104="Temperature"),0)),0),I29&gt;IFERROR(INDEX('Normal Parameters'!$G$5:$G$104,MATCH(1,('Normal Parameters'!$A$5:$A$104=D29)*('Normal Parameters'!$B$5:$B$104=E29)*('Normal Parameters'!$C$5:$C$104="Temperature"),0)),9999)),"Check","Normal"))</x:f>
      </x:c>
    </x:row>
    <x:row r="30" ht="15" hidden="0" customHeight="1">
      <x:c r="A30" s="74"/>
      <x:c r="B30" s="46"/>
      <x:c r="C30" s="46"/>
      <x:c r="D30" s="46" t="str">
        <x:f>IFERROR(XLOOKUP(C30,'Animals'!$A$5:$A$104,'Animals'!$C$5:$C$104,""),"")</x:f>
      </x:c>
      <x:c r="E30" s="46" t="str">
        <x:f>IFERROR(XLOOKUP(C30,'Animals'!$A$5:$A$104,'Animals'!$H$5:$H$104,""),"")</x:f>
      </x:c>
      <x:c r="F30" s="71"/>
      <x:c r="G30" s="71"/>
      <x:c r="H30" s="71"/>
      <x:c r="I30" s="71"/>
      <x:c r="J30" s="71"/>
      <x:c r="K30" s="46"/>
      <x:c r="L30" s="46"/>
      <x:c r="M30" s="46"/>
      <x:c r="N30" s="46"/>
      <x:c r="O30" s="46"/>
      <x:c r="P30" s="46"/>
      <x:c r="Q30" s="47" t="str">
        <x:f>IF(C30="","",IF(OR(J30&gt;IFERROR(INDEX('Normal Parameters'!$G$5:$G$104,MATCH(1,('Normal Parameters'!$A$5:$A$104=D30)*('Normal Parameters'!$B$5:$B$104=E30)*('Normal Parameters'!$C$5:$C$104="Behavior Score"),0)),99),F30&lt;IFERROR(INDEX('Normal Parameters'!$E$5:$E$104,MATCH(1,('Normal Parameters'!$A$5:$A$104=D30)*('Normal Parameters'!$B$5:$B$104=E30)*('Normal Parameters'!$C$5:$C$104="Weight"),0)),0),F30&gt;IFERROR(INDEX('Normal Parameters'!$G$5:$G$104,MATCH(1,('Normal Parameters'!$A$5:$A$104=D30)*('Normal Parameters'!$B$5:$B$104=E30)*('Normal Parameters'!$C$5:$C$104="Weight"),0)),9999),I30&lt;IFERROR(INDEX('Normal Parameters'!$E$5:$E$104,MATCH(1,('Normal Parameters'!$A$5:$A$104=D30)*('Normal Parameters'!$B$5:$B$104=E30)*('Normal Parameters'!$C$5:$C$104="Temperature"),0)),0),I30&gt;IFERROR(INDEX('Normal Parameters'!$G$5:$G$104,MATCH(1,('Normal Parameters'!$A$5:$A$104=D30)*('Normal Parameters'!$B$5:$B$104=E30)*('Normal Parameters'!$C$5:$C$104="Temperature"),0)),9999)),"Check","Normal"))</x:f>
      </x:c>
    </x:row>
    <x:row r="31" ht="15" hidden="0" customHeight="1">
      <x:c r="A31" s="74"/>
      <x:c r="B31" s="46"/>
      <x:c r="C31" s="46"/>
      <x:c r="D31" s="46" t="str">
        <x:f>IFERROR(XLOOKUP(C31,'Animals'!$A$5:$A$104,'Animals'!$C$5:$C$104,""),"")</x:f>
      </x:c>
      <x:c r="E31" s="46" t="str">
        <x:f>IFERROR(XLOOKUP(C31,'Animals'!$A$5:$A$104,'Animals'!$H$5:$H$104,""),"")</x:f>
      </x:c>
      <x:c r="F31" s="71"/>
      <x:c r="G31" s="71"/>
      <x:c r="H31" s="71"/>
      <x:c r="I31" s="71"/>
      <x:c r="J31" s="71"/>
      <x:c r="K31" s="46"/>
      <x:c r="L31" s="46"/>
      <x:c r="M31" s="46"/>
      <x:c r="N31" s="46"/>
      <x:c r="O31" s="46"/>
      <x:c r="P31" s="46"/>
      <x:c r="Q31" s="47" t="str">
        <x:f>IF(C31="","",IF(OR(J31&gt;IFERROR(INDEX('Normal Parameters'!$G$5:$G$104,MATCH(1,('Normal Parameters'!$A$5:$A$104=D31)*('Normal Parameters'!$B$5:$B$104=E31)*('Normal Parameters'!$C$5:$C$104="Behavior Score"),0)),99),F31&lt;IFERROR(INDEX('Normal Parameters'!$E$5:$E$104,MATCH(1,('Normal Parameters'!$A$5:$A$104=D31)*('Normal Parameters'!$B$5:$B$104=E31)*('Normal Parameters'!$C$5:$C$104="Weight"),0)),0),F31&gt;IFERROR(INDEX('Normal Parameters'!$G$5:$G$104,MATCH(1,('Normal Parameters'!$A$5:$A$104=D31)*('Normal Parameters'!$B$5:$B$104=E31)*('Normal Parameters'!$C$5:$C$104="Weight"),0)),9999),I31&lt;IFERROR(INDEX('Normal Parameters'!$E$5:$E$104,MATCH(1,('Normal Parameters'!$A$5:$A$104=D31)*('Normal Parameters'!$B$5:$B$104=E31)*('Normal Parameters'!$C$5:$C$104="Temperature"),0)),0),I31&gt;IFERROR(INDEX('Normal Parameters'!$G$5:$G$104,MATCH(1,('Normal Parameters'!$A$5:$A$104=D31)*('Normal Parameters'!$B$5:$B$104=E31)*('Normal Parameters'!$C$5:$C$104="Temperature"),0)),9999)),"Check","Normal"))</x:f>
      </x:c>
    </x:row>
    <x:row r="32" ht="15" hidden="0" customHeight="1">
      <x:c r="A32" s="74"/>
      <x:c r="B32" s="46"/>
      <x:c r="C32" s="46"/>
      <x:c r="D32" s="46" t="str">
        <x:f>IFERROR(XLOOKUP(C32,'Animals'!$A$5:$A$104,'Animals'!$C$5:$C$104,""),"")</x:f>
      </x:c>
      <x:c r="E32" s="46" t="str">
        <x:f>IFERROR(XLOOKUP(C32,'Animals'!$A$5:$A$104,'Animals'!$H$5:$H$104,""),"")</x:f>
      </x:c>
      <x:c r="F32" s="71"/>
      <x:c r="G32" s="71"/>
      <x:c r="H32" s="71"/>
      <x:c r="I32" s="71"/>
      <x:c r="J32" s="71"/>
      <x:c r="K32" s="46"/>
      <x:c r="L32" s="46"/>
      <x:c r="M32" s="46"/>
      <x:c r="N32" s="46"/>
      <x:c r="O32" s="46"/>
      <x:c r="P32" s="46"/>
      <x:c r="Q32" s="47" t="str">
        <x:f>IF(C32="","",IF(OR(J32&gt;IFERROR(INDEX('Normal Parameters'!$G$5:$G$104,MATCH(1,('Normal Parameters'!$A$5:$A$104=D32)*('Normal Parameters'!$B$5:$B$104=E32)*('Normal Parameters'!$C$5:$C$104="Behavior Score"),0)),99),F32&lt;IFERROR(INDEX('Normal Parameters'!$E$5:$E$104,MATCH(1,('Normal Parameters'!$A$5:$A$104=D32)*('Normal Parameters'!$B$5:$B$104=E32)*('Normal Parameters'!$C$5:$C$104="Weight"),0)),0),F32&gt;IFERROR(INDEX('Normal Parameters'!$G$5:$G$104,MATCH(1,('Normal Parameters'!$A$5:$A$104=D32)*('Normal Parameters'!$B$5:$B$104=E32)*('Normal Parameters'!$C$5:$C$104="Weight"),0)),9999),I32&lt;IFERROR(INDEX('Normal Parameters'!$E$5:$E$104,MATCH(1,('Normal Parameters'!$A$5:$A$104=D32)*('Normal Parameters'!$B$5:$B$104=E32)*('Normal Parameters'!$C$5:$C$104="Temperature"),0)),0),I32&gt;IFERROR(INDEX('Normal Parameters'!$G$5:$G$104,MATCH(1,('Normal Parameters'!$A$5:$A$104=D32)*('Normal Parameters'!$B$5:$B$104=E32)*('Normal Parameters'!$C$5:$C$104="Temperature"),0)),9999)),"Check","Normal"))</x:f>
      </x:c>
    </x:row>
    <x:row r="33" ht="15" hidden="0" customHeight="1">
      <x:c r="A33" s="74"/>
      <x:c r="B33" s="46"/>
      <x:c r="C33" s="46"/>
      <x:c r="D33" s="46" t="str">
        <x:f>IFERROR(XLOOKUP(C33,'Animals'!$A$5:$A$104,'Animals'!$C$5:$C$104,""),"")</x:f>
      </x:c>
      <x:c r="E33" s="46" t="str">
        <x:f>IFERROR(XLOOKUP(C33,'Animals'!$A$5:$A$104,'Animals'!$H$5:$H$104,""),"")</x:f>
      </x:c>
      <x:c r="F33" s="71"/>
      <x:c r="G33" s="71"/>
      <x:c r="H33" s="71"/>
      <x:c r="I33" s="71"/>
      <x:c r="J33" s="71"/>
      <x:c r="K33" s="46"/>
      <x:c r="L33" s="46"/>
      <x:c r="M33" s="46"/>
      <x:c r="N33" s="46"/>
      <x:c r="O33" s="46"/>
      <x:c r="P33" s="46"/>
      <x:c r="Q33" s="47" t="str">
        <x:f>IF(C33="","",IF(OR(J33&gt;IFERROR(INDEX('Normal Parameters'!$G$5:$G$104,MATCH(1,('Normal Parameters'!$A$5:$A$104=D33)*('Normal Parameters'!$B$5:$B$104=E33)*('Normal Parameters'!$C$5:$C$104="Behavior Score"),0)),99),F33&lt;IFERROR(INDEX('Normal Parameters'!$E$5:$E$104,MATCH(1,('Normal Parameters'!$A$5:$A$104=D33)*('Normal Parameters'!$B$5:$B$104=E33)*('Normal Parameters'!$C$5:$C$104="Weight"),0)),0),F33&gt;IFERROR(INDEX('Normal Parameters'!$G$5:$G$104,MATCH(1,('Normal Parameters'!$A$5:$A$104=D33)*('Normal Parameters'!$B$5:$B$104=E33)*('Normal Parameters'!$C$5:$C$104="Weight"),0)),9999),I33&lt;IFERROR(INDEX('Normal Parameters'!$E$5:$E$104,MATCH(1,('Normal Parameters'!$A$5:$A$104=D33)*('Normal Parameters'!$B$5:$B$104=E33)*('Normal Parameters'!$C$5:$C$104="Temperature"),0)),0),I33&gt;IFERROR(INDEX('Normal Parameters'!$G$5:$G$104,MATCH(1,('Normal Parameters'!$A$5:$A$104=D33)*('Normal Parameters'!$B$5:$B$104=E33)*('Normal Parameters'!$C$5:$C$104="Temperature"),0)),9999)),"Check","Normal"))</x:f>
      </x:c>
    </x:row>
    <x:row r="34" ht="15" hidden="0" customHeight="1">
      <x:c r="A34" s="74"/>
      <x:c r="B34" s="46"/>
      <x:c r="C34" s="46"/>
      <x:c r="D34" s="46" t="str">
        <x:f>IFERROR(XLOOKUP(C34,'Animals'!$A$5:$A$104,'Animals'!$C$5:$C$104,""),"")</x:f>
      </x:c>
      <x:c r="E34" s="46" t="str">
        <x:f>IFERROR(XLOOKUP(C34,'Animals'!$A$5:$A$104,'Animals'!$H$5:$H$104,""),"")</x:f>
      </x:c>
      <x:c r="F34" s="71"/>
      <x:c r="G34" s="71"/>
      <x:c r="H34" s="71"/>
      <x:c r="I34" s="71"/>
      <x:c r="J34" s="71"/>
      <x:c r="K34" s="46"/>
      <x:c r="L34" s="46"/>
      <x:c r="M34" s="46"/>
      <x:c r="N34" s="46"/>
      <x:c r="O34" s="46"/>
      <x:c r="P34" s="46"/>
      <x:c r="Q34" s="47" t="str">
        <x:f>IF(C34="","",IF(OR(J34&gt;IFERROR(INDEX('Normal Parameters'!$G$5:$G$104,MATCH(1,('Normal Parameters'!$A$5:$A$104=D34)*('Normal Parameters'!$B$5:$B$104=E34)*('Normal Parameters'!$C$5:$C$104="Behavior Score"),0)),99),F34&lt;IFERROR(INDEX('Normal Parameters'!$E$5:$E$104,MATCH(1,('Normal Parameters'!$A$5:$A$104=D34)*('Normal Parameters'!$B$5:$B$104=E34)*('Normal Parameters'!$C$5:$C$104="Weight"),0)),0),F34&gt;IFERROR(INDEX('Normal Parameters'!$G$5:$G$104,MATCH(1,('Normal Parameters'!$A$5:$A$104=D34)*('Normal Parameters'!$B$5:$B$104=E34)*('Normal Parameters'!$C$5:$C$104="Weight"),0)),9999),I34&lt;IFERROR(INDEX('Normal Parameters'!$E$5:$E$104,MATCH(1,('Normal Parameters'!$A$5:$A$104=D34)*('Normal Parameters'!$B$5:$B$104=E34)*('Normal Parameters'!$C$5:$C$104="Temperature"),0)),0),I34&gt;IFERROR(INDEX('Normal Parameters'!$G$5:$G$104,MATCH(1,('Normal Parameters'!$A$5:$A$104=D34)*('Normal Parameters'!$B$5:$B$104=E34)*('Normal Parameters'!$C$5:$C$104="Temperature"),0)),9999)),"Check","Normal"))</x:f>
      </x:c>
    </x:row>
    <x:row r="35" ht="15" hidden="0" customHeight="1">
      <x:c r="A35" s="74"/>
      <x:c r="B35" s="46"/>
      <x:c r="C35" s="46"/>
      <x:c r="D35" s="46" t="str">
        <x:f>IFERROR(XLOOKUP(C35,'Animals'!$A$5:$A$104,'Animals'!$C$5:$C$104,""),"")</x:f>
      </x:c>
      <x:c r="E35" s="46" t="str">
        <x:f>IFERROR(XLOOKUP(C35,'Animals'!$A$5:$A$104,'Animals'!$H$5:$H$104,""),"")</x:f>
      </x:c>
      <x:c r="F35" s="71"/>
      <x:c r="G35" s="71"/>
      <x:c r="H35" s="71"/>
      <x:c r="I35" s="71"/>
      <x:c r="J35" s="71"/>
      <x:c r="K35" s="46"/>
      <x:c r="L35" s="46"/>
      <x:c r="M35" s="46"/>
      <x:c r="N35" s="46"/>
      <x:c r="O35" s="46"/>
      <x:c r="P35" s="46"/>
      <x:c r="Q35" s="47" t="str">
        <x:f>IF(C35="","",IF(OR(J35&gt;IFERROR(INDEX('Normal Parameters'!$G$5:$G$104,MATCH(1,('Normal Parameters'!$A$5:$A$104=D35)*('Normal Parameters'!$B$5:$B$104=E35)*('Normal Parameters'!$C$5:$C$104="Behavior Score"),0)),99),F35&lt;IFERROR(INDEX('Normal Parameters'!$E$5:$E$104,MATCH(1,('Normal Parameters'!$A$5:$A$104=D35)*('Normal Parameters'!$B$5:$B$104=E35)*('Normal Parameters'!$C$5:$C$104="Weight"),0)),0),F35&gt;IFERROR(INDEX('Normal Parameters'!$G$5:$G$104,MATCH(1,('Normal Parameters'!$A$5:$A$104=D35)*('Normal Parameters'!$B$5:$B$104=E35)*('Normal Parameters'!$C$5:$C$104="Weight"),0)),9999),I35&lt;IFERROR(INDEX('Normal Parameters'!$E$5:$E$104,MATCH(1,('Normal Parameters'!$A$5:$A$104=D35)*('Normal Parameters'!$B$5:$B$104=E35)*('Normal Parameters'!$C$5:$C$104="Temperature"),0)),0),I35&gt;IFERROR(INDEX('Normal Parameters'!$G$5:$G$104,MATCH(1,('Normal Parameters'!$A$5:$A$104=D35)*('Normal Parameters'!$B$5:$B$104=E35)*('Normal Parameters'!$C$5:$C$104="Temperature"),0)),9999)),"Check","Normal"))</x:f>
      </x:c>
    </x:row>
    <x:row r="36" ht="15" hidden="0" customHeight="1">
      <x:c r="A36" s="74"/>
      <x:c r="B36" s="46"/>
      <x:c r="C36" s="46"/>
      <x:c r="D36" s="46" t="str">
        <x:f>IFERROR(XLOOKUP(C36,'Animals'!$A$5:$A$104,'Animals'!$C$5:$C$104,""),"")</x:f>
      </x:c>
      <x:c r="E36" s="46" t="str">
        <x:f>IFERROR(XLOOKUP(C36,'Animals'!$A$5:$A$104,'Animals'!$H$5:$H$104,""),"")</x:f>
      </x:c>
      <x:c r="F36" s="71"/>
      <x:c r="G36" s="71"/>
      <x:c r="H36" s="71"/>
      <x:c r="I36" s="71"/>
      <x:c r="J36" s="71"/>
      <x:c r="K36" s="46"/>
      <x:c r="L36" s="46"/>
      <x:c r="M36" s="46"/>
      <x:c r="N36" s="46"/>
      <x:c r="O36" s="46"/>
      <x:c r="P36" s="46"/>
      <x:c r="Q36" s="47" t="str">
        <x:f>IF(C36="","",IF(OR(J36&gt;IFERROR(INDEX('Normal Parameters'!$G$5:$G$104,MATCH(1,('Normal Parameters'!$A$5:$A$104=D36)*('Normal Parameters'!$B$5:$B$104=E36)*('Normal Parameters'!$C$5:$C$104="Behavior Score"),0)),99),F36&lt;IFERROR(INDEX('Normal Parameters'!$E$5:$E$104,MATCH(1,('Normal Parameters'!$A$5:$A$104=D36)*('Normal Parameters'!$B$5:$B$104=E36)*('Normal Parameters'!$C$5:$C$104="Weight"),0)),0),F36&gt;IFERROR(INDEX('Normal Parameters'!$G$5:$G$104,MATCH(1,('Normal Parameters'!$A$5:$A$104=D36)*('Normal Parameters'!$B$5:$B$104=E36)*('Normal Parameters'!$C$5:$C$104="Weight"),0)),9999),I36&lt;IFERROR(INDEX('Normal Parameters'!$E$5:$E$104,MATCH(1,('Normal Parameters'!$A$5:$A$104=D36)*('Normal Parameters'!$B$5:$B$104=E36)*('Normal Parameters'!$C$5:$C$104="Temperature"),0)),0),I36&gt;IFERROR(INDEX('Normal Parameters'!$G$5:$G$104,MATCH(1,('Normal Parameters'!$A$5:$A$104=D36)*('Normal Parameters'!$B$5:$B$104=E36)*('Normal Parameters'!$C$5:$C$104="Temperature"),0)),9999)),"Check","Normal"))</x:f>
      </x:c>
    </x:row>
    <x:row r="37" ht="15" hidden="0" customHeight="1">
      <x:c r="A37" s="74"/>
      <x:c r="B37" s="46"/>
      <x:c r="C37" s="46"/>
      <x:c r="D37" s="46" t="str">
        <x:f>IFERROR(XLOOKUP(C37,'Animals'!$A$5:$A$104,'Animals'!$C$5:$C$104,""),"")</x:f>
      </x:c>
      <x:c r="E37" s="46" t="str">
        <x:f>IFERROR(XLOOKUP(C37,'Animals'!$A$5:$A$104,'Animals'!$H$5:$H$104,""),"")</x:f>
      </x:c>
      <x:c r="F37" s="71"/>
      <x:c r="G37" s="71"/>
      <x:c r="H37" s="71"/>
      <x:c r="I37" s="71"/>
      <x:c r="J37" s="71"/>
      <x:c r="K37" s="46"/>
      <x:c r="L37" s="46"/>
      <x:c r="M37" s="46"/>
      <x:c r="N37" s="46"/>
      <x:c r="O37" s="46"/>
      <x:c r="P37" s="46"/>
      <x:c r="Q37" s="47" t="str">
        <x:f>IF(C37="","",IF(OR(J37&gt;IFERROR(INDEX('Normal Parameters'!$G$5:$G$104,MATCH(1,('Normal Parameters'!$A$5:$A$104=D37)*('Normal Parameters'!$B$5:$B$104=E37)*('Normal Parameters'!$C$5:$C$104="Behavior Score"),0)),99),F37&lt;IFERROR(INDEX('Normal Parameters'!$E$5:$E$104,MATCH(1,('Normal Parameters'!$A$5:$A$104=D37)*('Normal Parameters'!$B$5:$B$104=E37)*('Normal Parameters'!$C$5:$C$104="Weight"),0)),0),F37&gt;IFERROR(INDEX('Normal Parameters'!$G$5:$G$104,MATCH(1,('Normal Parameters'!$A$5:$A$104=D37)*('Normal Parameters'!$B$5:$B$104=E37)*('Normal Parameters'!$C$5:$C$104="Weight"),0)),9999),I37&lt;IFERROR(INDEX('Normal Parameters'!$E$5:$E$104,MATCH(1,('Normal Parameters'!$A$5:$A$104=D37)*('Normal Parameters'!$B$5:$B$104=E37)*('Normal Parameters'!$C$5:$C$104="Temperature"),0)),0),I37&gt;IFERROR(INDEX('Normal Parameters'!$G$5:$G$104,MATCH(1,('Normal Parameters'!$A$5:$A$104=D37)*('Normal Parameters'!$B$5:$B$104=E37)*('Normal Parameters'!$C$5:$C$104="Temperature"),0)),9999)),"Check","Normal"))</x:f>
      </x:c>
    </x:row>
    <x:row r="38" ht="15" hidden="0" customHeight="1">
      <x:c r="A38" s="74"/>
      <x:c r="B38" s="46"/>
      <x:c r="C38" s="46"/>
      <x:c r="D38" s="46" t="str">
        <x:f>IFERROR(XLOOKUP(C38,'Animals'!$A$5:$A$104,'Animals'!$C$5:$C$104,""),"")</x:f>
      </x:c>
      <x:c r="E38" s="46" t="str">
        <x:f>IFERROR(XLOOKUP(C38,'Animals'!$A$5:$A$104,'Animals'!$H$5:$H$104,""),"")</x:f>
      </x:c>
      <x:c r="F38" s="71"/>
      <x:c r="G38" s="71"/>
      <x:c r="H38" s="71"/>
      <x:c r="I38" s="71"/>
      <x:c r="J38" s="71"/>
      <x:c r="K38" s="46"/>
      <x:c r="L38" s="46"/>
      <x:c r="M38" s="46"/>
      <x:c r="N38" s="46"/>
      <x:c r="O38" s="46"/>
      <x:c r="P38" s="46"/>
      <x:c r="Q38" s="47" t="str">
        <x:f>IF(C38="","",IF(OR(J38&gt;IFERROR(INDEX('Normal Parameters'!$G$5:$G$104,MATCH(1,('Normal Parameters'!$A$5:$A$104=D38)*('Normal Parameters'!$B$5:$B$104=E38)*('Normal Parameters'!$C$5:$C$104="Behavior Score"),0)),99),F38&lt;IFERROR(INDEX('Normal Parameters'!$E$5:$E$104,MATCH(1,('Normal Parameters'!$A$5:$A$104=D38)*('Normal Parameters'!$B$5:$B$104=E38)*('Normal Parameters'!$C$5:$C$104="Weight"),0)),0),F38&gt;IFERROR(INDEX('Normal Parameters'!$G$5:$G$104,MATCH(1,('Normal Parameters'!$A$5:$A$104=D38)*('Normal Parameters'!$B$5:$B$104=E38)*('Normal Parameters'!$C$5:$C$104="Weight"),0)),9999),I38&lt;IFERROR(INDEX('Normal Parameters'!$E$5:$E$104,MATCH(1,('Normal Parameters'!$A$5:$A$104=D38)*('Normal Parameters'!$B$5:$B$104=E38)*('Normal Parameters'!$C$5:$C$104="Temperature"),0)),0),I38&gt;IFERROR(INDEX('Normal Parameters'!$G$5:$G$104,MATCH(1,('Normal Parameters'!$A$5:$A$104=D38)*('Normal Parameters'!$B$5:$B$104=E38)*('Normal Parameters'!$C$5:$C$104="Temperature"),0)),9999)),"Check","Normal"))</x:f>
      </x:c>
    </x:row>
    <x:row r="39" ht="15" hidden="0" customHeight="1">
      <x:c r="A39" s="74"/>
      <x:c r="B39" s="46"/>
      <x:c r="C39" s="46"/>
      <x:c r="D39" s="46" t="str">
        <x:f>IFERROR(XLOOKUP(C39,'Animals'!$A$5:$A$104,'Animals'!$C$5:$C$104,""),"")</x:f>
      </x:c>
      <x:c r="E39" s="46" t="str">
        <x:f>IFERROR(XLOOKUP(C39,'Animals'!$A$5:$A$104,'Animals'!$H$5:$H$104,""),"")</x:f>
      </x:c>
      <x:c r="F39" s="71"/>
      <x:c r="G39" s="71"/>
      <x:c r="H39" s="71"/>
      <x:c r="I39" s="71"/>
      <x:c r="J39" s="71"/>
      <x:c r="K39" s="46"/>
      <x:c r="L39" s="46"/>
      <x:c r="M39" s="46"/>
      <x:c r="N39" s="46"/>
      <x:c r="O39" s="46"/>
      <x:c r="P39" s="46"/>
      <x:c r="Q39" s="47" t="str">
        <x:f>IF(C39="","",IF(OR(J39&gt;IFERROR(INDEX('Normal Parameters'!$G$5:$G$104,MATCH(1,('Normal Parameters'!$A$5:$A$104=D39)*('Normal Parameters'!$B$5:$B$104=E39)*('Normal Parameters'!$C$5:$C$104="Behavior Score"),0)),99),F39&lt;IFERROR(INDEX('Normal Parameters'!$E$5:$E$104,MATCH(1,('Normal Parameters'!$A$5:$A$104=D39)*('Normal Parameters'!$B$5:$B$104=E39)*('Normal Parameters'!$C$5:$C$104="Weight"),0)),0),F39&gt;IFERROR(INDEX('Normal Parameters'!$G$5:$G$104,MATCH(1,('Normal Parameters'!$A$5:$A$104=D39)*('Normal Parameters'!$B$5:$B$104=E39)*('Normal Parameters'!$C$5:$C$104="Weight"),0)),9999),I39&lt;IFERROR(INDEX('Normal Parameters'!$E$5:$E$104,MATCH(1,('Normal Parameters'!$A$5:$A$104=D39)*('Normal Parameters'!$B$5:$B$104=E39)*('Normal Parameters'!$C$5:$C$104="Temperature"),0)),0),I39&gt;IFERROR(INDEX('Normal Parameters'!$G$5:$G$104,MATCH(1,('Normal Parameters'!$A$5:$A$104=D39)*('Normal Parameters'!$B$5:$B$104=E39)*('Normal Parameters'!$C$5:$C$104="Temperature"),0)),9999)),"Check","Normal"))</x:f>
      </x:c>
    </x:row>
    <x:row r="40" ht="15" hidden="0" customHeight="1">
      <x:c r="A40" s="74"/>
      <x:c r="B40" s="46"/>
      <x:c r="C40" s="46"/>
      <x:c r="D40" s="46" t="str">
        <x:f>IFERROR(XLOOKUP(C40,'Animals'!$A$5:$A$104,'Animals'!$C$5:$C$104,""),"")</x:f>
      </x:c>
      <x:c r="E40" s="46" t="str">
        <x:f>IFERROR(XLOOKUP(C40,'Animals'!$A$5:$A$104,'Animals'!$H$5:$H$104,""),"")</x:f>
      </x:c>
      <x:c r="F40" s="71"/>
      <x:c r="G40" s="71"/>
      <x:c r="H40" s="71"/>
      <x:c r="I40" s="71"/>
      <x:c r="J40" s="71"/>
      <x:c r="K40" s="46"/>
      <x:c r="L40" s="46"/>
      <x:c r="M40" s="46"/>
      <x:c r="N40" s="46"/>
      <x:c r="O40" s="46"/>
      <x:c r="P40" s="46"/>
      <x:c r="Q40" s="47" t="str">
        <x:f>IF(C40="","",IF(OR(J40&gt;IFERROR(INDEX('Normal Parameters'!$G$5:$G$104,MATCH(1,('Normal Parameters'!$A$5:$A$104=D40)*('Normal Parameters'!$B$5:$B$104=E40)*('Normal Parameters'!$C$5:$C$104="Behavior Score"),0)),99),F40&lt;IFERROR(INDEX('Normal Parameters'!$E$5:$E$104,MATCH(1,('Normal Parameters'!$A$5:$A$104=D40)*('Normal Parameters'!$B$5:$B$104=E40)*('Normal Parameters'!$C$5:$C$104="Weight"),0)),0),F40&gt;IFERROR(INDEX('Normal Parameters'!$G$5:$G$104,MATCH(1,('Normal Parameters'!$A$5:$A$104=D40)*('Normal Parameters'!$B$5:$B$104=E40)*('Normal Parameters'!$C$5:$C$104="Weight"),0)),9999),I40&lt;IFERROR(INDEX('Normal Parameters'!$E$5:$E$104,MATCH(1,('Normal Parameters'!$A$5:$A$104=D40)*('Normal Parameters'!$B$5:$B$104=E40)*('Normal Parameters'!$C$5:$C$104="Temperature"),0)),0),I40&gt;IFERROR(INDEX('Normal Parameters'!$G$5:$G$104,MATCH(1,('Normal Parameters'!$A$5:$A$104=D40)*('Normal Parameters'!$B$5:$B$104=E40)*('Normal Parameters'!$C$5:$C$104="Temperature"),0)),9999)),"Check","Normal"))</x:f>
      </x:c>
    </x:row>
    <x:row r="41" ht="15" hidden="0" customHeight="1">
      <x:c r="A41" s="74"/>
      <x:c r="B41" s="46"/>
      <x:c r="C41" s="46"/>
      <x:c r="D41" s="46" t="str">
        <x:f>IFERROR(XLOOKUP(C41,'Animals'!$A$5:$A$104,'Animals'!$C$5:$C$104,""),"")</x:f>
      </x:c>
      <x:c r="E41" s="46" t="str">
        <x:f>IFERROR(XLOOKUP(C41,'Animals'!$A$5:$A$104,'Animals'!$H$5:$H$104,""),"")</x:f>
      </x:c>
      <x:c r="F41" s="71"/>
      <x:c r="G41" s="71"/>
      <x:c r="H41" s="71"/>
      <x:c r="I41" s="71"/>
      <x:c r="J41" s="71"/>
      <x:c r="K41" s="46"/>
      <x:c r="L41" s="46"/>
      <x:c r="M41" s="46"/>
      <x:c r="N41" s="46"/>
      <x:c r="O41" s="46"/>
      <x:c r="P41" s="46"/>
      <x:c r="Q41" s="47" t="str">
        <x:f>IF(C41="","",IF(OR(J41&gt;IFERROR(INDEX('Normal Parameters'!$G$5:$G$104,MATCH(1,('Normal Parameters'!$A$5:$A$104=D41)*('Normal Parameters'!$B$5:$B$104=E41)*('Normal Parameters'!$C$5:$C$104="Behavior Score"),0)),99),F41&lt;IFERROR(INDEX('Normal Parameters'!$E$5:$E$104,MATCH(1,('Normal Parameters'!$A$5:$A$104=D41)*('Normal Parameters'!$B$5:$B$104=E41)*('Normal Parameters'!$C$5:$C$104="Weight"),0)),0),F41&gt;IFERROR(INDEX('Normal Parameters'!$G$5:$G$104,MATCH(1,('Normal Parameters'!$A$5:$A$104=D41)*('Normal Parameters'!$B$5:$B$104=E41)*('Normal Parameters'!$C$5:$C$104="Weight"),0)),9999),I41&lt;IFERROR(INDEX('Normal Parameters'!$E$5:$E$104,MATCH(1,('Normal Parameters'!$A$5:$A$104=D41)*('Normal Parameters'!$B$5:$B$104=E41)*('Normal Parameters'!$C$5:$C$104="Temperature"),0)),0),I41&gt;IFERROR(INDEX('Normal Parameters'!$G$5:$G$104,MATCH(1,('Normal Parameters'!$A$5:$A$104=D41)*('Normal Parameters'!$B$5:$B$104=E41)*('Normal Parameters'!$C$5:$C$104="Temperature"),0)),9999)),"Check","Normal"))</x:f>
      </x:c>
    </x:row>
    <x:row r="42" ht="15" hidden="0" customHeight="1">
      <x:c r="A42" s="74"/>
      <x:c r="B42" s="46"/>
      <x:c r="C42" s="46"/>
      <x:c r="D42" s="46" t="str">
        <x:f>IFERROR(XLOOKUP(C42,'Animals'!$A$5:$A$104,'Animals'!$C$5:$C$104,""),"")</x:f>
      </x:c>
      <x:c r="E42" s="46" t="str">
        <x:f>IFERROR(XLOOKUP(C42,'Animals'!$A$5:$A$104,'Animals'!$H$5:$H$104,""),"")</x:f>
      </x:c>
      <x:c r="F42" s="71"/>
      <x:c r="G42" s="71"/>
      <x:c r="H42" s="71"/>
      <x:c r="I42" s="71"/>
      <x:c r="J42" s="71"/>
      <x:c r="K42" s="46"/>
      <x:c r="L42" s="46"/>
      <x:c r="M42" s="46"/>
      <x:c r="N42" s="46"/>
      <x:c r="O42" s="46"/>
      <x:c r="P42" s="46"/>
      <x:c r="Q42" s="47" t="str">
        <x:f>IF(C42="","",IF(OR(J42&gt;IFERROR(INDEX('Normal Parameters'!$G$5:$G$104,MATCH(1,('Normal Parameters'!$A$5:$A$104=D42)*('Normal Parameters'!$B$5:$B$104=E42)*('Normal Parameters'!$C$5:$C$104="Behavior Score"),0)),99),F42&lt;IFERROR(INDEX('Normal Parameters'!$E$5:$E$104,MATCH(1,('Normal Parameters'!$A$5:$A$104=D42)*('Normal Parameters'!$B$5:$B$104=E42)*('Normal Parameters'!$C$5:$C$104="Weight"),0)),0),F42&gt;IFERROR(INDEX('Normal Parameters'!$G$5:$G$104,MATCH(1,('Normal Parameters'!$A$5:$A$104=D42)*('Normal Parameters'!$B$5:$B$104=E42)*('Normal Parameters'!$C$5:$C$104="Weight"),0)),9999),I42&lt;IFERROR(INDEX('Normal Parameters'!$E$5:$E$104,MATCH(1,('Normal Parameters'!$A$5:$A$104=D42)*('Normal Parameters'!$B$5:$B$104=E42)*('Normal Parameters'!$C$5:$C$104="Temperature"),0)),0),I42&gt;IFERROR(INDEX('Normal Parameters'!$G$5:$G$104,MATCH(1,('Normal Parameters'!$A$5:$A$104=D42)*('Normal Parameters'!$B$5:$B$104=E42)*('Normal Parameters'!$C$5:$C$104="Temperature"),0)),9999)),"Check","Normal"))</x:f>
      </x:c>
    </x:row>
    <x:row r="43" ht="15" hidden="0" customHeight="1">
      <x:c r="A43" s="74"/>
      <x:c r="B43" s="46"/>
      <x:c r="C43" s="46"/>
      <x:c r="D43" s="46" t="str">
        <x:f>IFERROR(XLOOKUP(C43,'Animals'!$A$5:$A$104,'Animals'!$C$5:$C$104,""),"")</x:f>
      </x:c>
      <x:c r="E43" s="46" t="str">
        <x:f>IFERROR(XLOOKUP(C43,'Animals'!$A$5:$A$104,'Animals'!$H$5:$H$104,""),"")</x:f>
      </x:c>
      <x:c r="F43" s="71"/>
      <x:c r="G43" s="71"/>
      <x:c r="H43" s="71"/>
      <x:c r="I43" s="71"/>
      <x:c r="J43" s="71"/>
      <x:c r="K43" s="46"/>
      <x:c r="L43" s="46"/>
      <x:c r="M43" s="46"/>
      <x:c r="N43" s="46"/>
      <x:c r="O43" s="46"/>
      <x:c r="P43" s="46"/>
      <x:c r="Q43" s="47" t="str">
        <x:f>IF(C43="","",IF(OR(J43&gt;IFERROR(INDEX('Normal Parameters'!$G$5:$G$104,MATCH(1,('Normal Parameters'!$A$5:$A$104=D43)*('Normal Parameters'!$B$5:$B$104=E43)*('Normal Parameters'!$C$5:$C$104="Behavior Score"),0)),99),F43&lt;IFERROR(INDEX('Normal Parameters'!$E$5:$E$104,MATCH(1,('Normal Parameters'!$A$5:$A$104=D43)*('Normal Parameters'!$B$5:$B$104=E43)*('Normal Parameters'!$C$5:$C$104="Weight"),0)),0),F43&gt;IFERROR(INDEX('Normal Parameters'!$G$5:$G$104,MATCH(1,('Normal Parameters'!$A$5:$A$104=D43)*('Normal Parameters'!$B$5:$B$104=E43)*('Normal Parameters'!$C$5:$C$104="Weight"),0)),9999),I43&lt;IFERROR(INDEX('Normal Parameters'!$E$5:$E$104,MATCH(1,('Normal Parameters'!$A$5:$A$104=D43)*('Normal Parameters'!$B$5:$B$104=E43)*('Normal Parameters'!$C$5:$C$104="Temperature"),0)),0),I43&gt;IFERROR(INDEX('Normal Parameters'!$G$5:$G$104,MATCH(1,('Normal Parameters'!$A$5:$A$104=D43)*('Normal Parameters'!$B$5:$B$104=E43)*('Normal Parameters'!$C$5:$C$104="Temperature"),0)),9999)),"Check","Normal"))</x:f>
      </x:c>
    </x:row>
    <x:row r="44" ht="15" hidden="0" customHeight="1">
      <x:c r="A44" s="74"/>
      <x:c r="B44" s="46"/>
      <x:c r="C44" s="46"/>
      <x:c r="D44" s="46" t="str">
        <x:f>IFERROR(XLOOKUP(C44,'Animals'!$A$5:$A$104,'Animals'!$C$5:$C$104,""),"")</x:f>
      </x:c>
      <x:c r="E44" s="46" t="str">
        <x:f>IFERROR(XLOOKUP(C44,'Animals'!$A$5:$A$104,'Animals'!$H$5:$H$104,""),"")</x:f>
      </x:c>
      <x:c r="F44" s="71"/>
      <x:c r="G44" s="71"/>
      <x:c r="H44" s="71"/>
      <x:c r="I44" s="71"/>
      <x:c r="J44" s="71"/>
      <x:c r="K44" s="46"/>
      <x:c r="L44" s="46"/>
      <x:c r="M44" s="46"/>
      <x:c r="N44" s="46"/>
      <x:c r="O44" s="46"/>
      <x:c r="P44" s="46"/>
      <x:c r="Q44" s="47" t="str">
        <x:f>IF(C44="","",IF(OR(J44&gt;IFERROR(INDEX('Normal Parameters'!$G$5:$G$104,MATCH(1,('Normal Parameters'!$A$5:$A$104=D44)*('Normal Parameters'!$B$5:$B$104=E44)*('Normal Parameters'!$C$5:$C$104="Behavior Score"),0)),99),F44&lt;IFERROR(INDEX('Normal Parameters'!$E$5:$E$104,MATCH(1,('Normal Parameters'!$A$5:$A$104=D44)*('Normal Parameters'!$B$5:$B$104=E44)*('Normal Parameters'!$C$5:$C$104="Weight"),0)),0),F44&gt;IFERROR(INDEX('Normal Parameters'!$G$5:$G$104,MATCH(1,('Normal Parameters'!$A$5:$A$104=D44)*('Normal Parameters'!$B$5:$B$104=E44)*('Normal Parameters'!$C$5:$C$104="Weight"),0)),9999),I44&lt;IFERROR(INDEX('Normal Parameters'!$E$5:$E$104,MATCH(1,('Normal Parameters'!$A$5:$A$104=D44)*('Normal Parameters'!$B$5:$B$104=E44)*('Normal Parameters'!$C$5:$C$104="Temperature"),0)),0),I44&gt;IFERROR(INDEX('Normal Parameters'!$G$5:$G$104,MATCH(1,('Normal Parameters'!$A$5:$A$104=D44)*('Normal Parameters'!$B$5:$B$104=E44)*('Normal Parameters'!$C$5:$C$104="Temperature"),0)),9999)),"Check","Normal"))</x:f>
      </x:c>
    </x:row>
    <x:row r="45" ht="15" hidden="0" customHeight="1">
      <x:c r="A45" s="74"/>
      <x:c r="B45" s="46"/>
      <x:c r="C45" s="46"/>
      <x:c r="D45" s="46" t="str">
        <x:f>IFERROR(XLOOKUP(C45,'Animals'!$A$5:$A$104,'Animals'!$C$5:$C$104,""),"")</x:f>
      </x:c>
      <x:c r="E45" s="46" t="str">
        <x:f>IFERROR(XLOOKUP(C45,'Animals'!$A$5:$A$104,'Animals'!$H$5:$H$104,""),"")</x:f>
      </x:c>
      <x:c r="F45" s="71"/>
      <x:c r="G45" s="71"/>
      <x:c r="H45" s="71"/>
      <x:c r="I45" s="71"/>
      <x:c r="J45" s="71"/>
      <x:c r="K45" s="46"/>
      <x:c r="L45" s="46"/>
      <x:c r="M45" s="46"/>
      <x:c r="N45" s="46"/>
      <x:c r="O45" s="46"/>
      <x:c r="P45" s="46"/>
      <x:c r="Q45" s="47" t="str">
        <x:f>IF(C45="","",IF(OR(J45&gt;IFERROR(INDEX('Normal Parameters'!$G$5:$G$104,MATCH(1,('Normal Parameters'!$A$5:$A$104=D45)*('Normal Parameters'!$B$5:$B$104=E45)*('Normal Parameters'!$C$5:$C$104="Behavior Score"),0)),99),F45&lt;IFERROR(INDEX('Normal Parameters'!$E$5:$E$104,MATCH(1,('Normal Parameters'!$A$5:$A$104=D45)*('Normal Parameters'!$B$5:$B$104=E45)*('Normal Parameters'!$C$5:$C$104="Weight"),0)),0),F45&gt;IFERROR(INDEX('Normal Parameters'!$G$5:$G$104,MATCH(1,('Normal Parameters'!$A$5:$A$104=D45)*('Normal Parameters'!$B$5:$B$104=E45)*('Normal Parameters'!$C$5:$C$104="Weight"),0)),9999),I45&lt;IFERROR(INDEX('Normal Parameters'!$E$5:$E$104,MATCH(1,('Normal Parameters'!$A$5:$A$104=D45)*('Normal Parameters'!$B$5:$B$104=E45)*('Normal Parameters'!$C$5:$C$104="Temperature"),0)),0),I45&gt;IFERROR(INDEX('Normal Parameters'!$G$5:$G$104,MATCH(1,('Normal Parameters'!$A$5:$A$104=D45)*('Normal Parameters'!$B$5:$B$104=E45)*('Normal Parameters'!$C$5:$C$104="Temperature"),0)),9999)),"Check","Normal"))</x:f>
      </x:c>
    </x:row>
    <x:row r="46" ht="15" hidden="0" customHeight="1">
      <x:c r="A46" s="74"/>
      <x:c r="B46" s="46"/>
      <x:c r="C46" s="46"/>
      <x:c r="D46" s="46" t="str">
        <x:f>IFERROR(XLOOKUP(C46,'Animals'!$A$5:$A$104,'Animals'!$C$5:$C$104,""),"")</x:f>
      </x:c>
      <x:c r="E46" s="46" t="str">
        <x:f>IFERROR(XLOOKUP(C46,'Animals'!$A$5:$A$104,'Animals'!$H$5:$H$104,""),"")</x:f>
      </x:c>
      <x:c r="F46" s="71"/>
      <x:c r="G46" s="71"/>
      <x:c r="H46" s="71"/>
      <x:c r="I46" s="71"/>
      <x:c r="J46" s="71"/>
      <x:c r="K46" s="46"/>
      <x:c r="L46" s="46"/>
      <x:c r="M46" s="46"/>
      <x:c r="N46" s="46"/>
      <x:c r="O46" s="46"/>
      <x:c r="P46" s="46"/>
      <x:c r="Q46" s="47" t="str">
        <x:f>IF(C46="","",IF(OR(J46&gt;IFERROR(INDEX('Normal Parameters'!$G$5:$G$104,MATCH(1,('Normal Parameters'!$A$5:$A$104=D46)*('Normal Parameters'!$B$5:$B$104=E46)*('Normal Parameters'!$C$5:$C$104="Behavior Score"),0)),99),F46&lt;IFERROR(INDEX('Normal Parameters'!$E$5:$E$104,MATCH(1,('Normal Parameters'!$A$5:$A$104=D46)*('Normal Parameters'!$B$5:$B$104=E46)*('Normal Parameters'!$C$5:$C$104="Weight"),0)),0),F46&gt;IFERROR(INDEX('Normal Parameters'!$G$5:$G$104,MATCH(1,('Normal Parameters'!$A$5:$A$104=D46)*('Normal Parameters'!$B$5:$B$104=E46)*('Normal Parameters'!$C$5:$C$104="Weight"),0)),9999),I46&lt;IFERROR(INDEX('Normal Parameters'!$E$5:$E$104,MATCH(1,('Normal Parameters'!$A$5:$A$104=D46)*('Normal Parameters'!$B$5:$B$104=E46)*('Normal Parameters'!$C$5:$C$104="Temperature"),0)),0),I46&gt;IFERROR(INDEX('Normal Parameters'!$G$5:$G$104,MATCH(1,('Normal Parameters'!$A$5:$A$104=D46)*('Normal Parameters'!$B$5:$B$104=E46)*('Normal Parameters'!$C$5:$C$104="Temperature"),0)),9999)),"Check","Normal"))</x:f>
      </x:c>
    </x:row>
    <x:row r="47" ht="15" hidden="0" customHeight="1">
      <x:c r="A47" s="74"/>
      <x:c r="B47" s="46"/>
      <x:c r="C47" s="46"/>
      <x:c r="D47" s="46" t="str">
        <x:f>IFERROR(XLOOKUP(C47,'Animals'!$A$5:$A$104,'Animals'!$C$5:$C$104,""),"")</x:f>
      </x:c>
      <x:c r="E47" s="46" t="str">
        <x:f>IFERROR(XLOOKUP(C47,'Animals'!$A$5:$A$104,'Animals'!$H$5:$H$104,""),"")</x:f>
      </x:c>
      <x:c r="F47" s="71"/>
      <x:c r="G47" s="71"/>
      <x:c r="H47" s="71"/>
      <x:c r="I47" s="71"/>
      <x:c r="J47" s="71"/>
      <x:c r="K47" s="46"/>
      <x:c r="L47" s="46"/>
      <x:c r="M47" s="46"/>
      <x:c r="N47" s="46"/>
      <x:c r="O47" s="46"/>
      <x:c r="P47" s="46"/>
      <x:c r="Q47" s="47" t="str">
        <x:f>IF(C47="","",IF(OR(J47&gt;IFERROR(INDEX('Normal Parameters'!$G$5:$G$104,MATCH(1,('Normal Parameters'!$A$5:$A$104=D47)*('Normal Parameters'!$B$5:$B$104=E47)*('Normal Parameters'!$C$5:$C$104="Behavior Score"),0)),99),F47&lt;IFERROR(INDEX('Normal Parameters'!$E$5:$E$104,MATCH(1,('Normal Parameters'!$A$5:$A$104=D47)*('Normal Parameters'!$B$5:$B$104=E47)*('Normal Parameters'!$C$5:$C$104="Weight"),0)),0),F47&gt;IFERROR(INDEX('Normal Parameters'!$G$5:$G$104,MATCH(1,('Normal Parameters'!$A$5:$A$104=D47)*('Normal Parameters'!$B$5:$B$104=E47)*('Normal Parameters'!$C$5:$C$104="Weight"),0)),9999),I47&lt;IFERROR(INDEX('Normal Parameters'!$E$5:$E$104,MATCH(1,('Normal Parameters'!$A$5:$A$104=D47)*('Normal Parameters'!$B$5:$B$104=E47)*('Normal Parameters'!$C$5:$C$104="Temperature"),0)),0),I47&gt;IFERROR(INDEX('Normal Parameters'!$G$5:$G$104,MATCH(1,('Normal Parameters'!$A$5:$A$104=D47)*('Normal Parameters'!$B$5:$B$104=E47)*('Normal Parameters'!$C$5:$C$104="Temperature"),0)),9999)),"Check","Normal"))</x:f>
      </x:c>
    </x:row>
    <x:row r="48" ht="15" hidden="0" customHeight="1">
      <x:c r="A48" s="74"/>
      <x:c r="B48" s="46"/>
      <x:c r="C48" s="46"/>
      <x:c r="D48" s="46" t="str">
        <x:f>IFERROR(XLOOKUP(C48,'Animals'!$A$5:$A$104,'Animals'!$C$5:$C$104,""),"")</x:f>
      </x:c>
      <x:c r="E48" s="46" t="str">
        <x:f>IFERROR(XLOOKUP(C48,'Animals'!$A$5:$A$104,'Animals'!$H$5:$H$104,""),"")</x:f>
      </x:c>
      <x:c r="F48" s="71"/>
      <x:c r="G48" s="71"/>
      <x:c r="H48" s="71"/>
      <x:c r="I48" s="71"/>
      <x:c r="J48" s="71"/>
      <x:c r="K48" s="46"/>
      <x:c r="L48" s="46"/>
      <x:c r="M48" s="46"/>
      <x:c r="N48" s="46"/>
      <x:c r="O48" s="46"/>
      <x:c r="P48" s="46"/>
      <x:c r="Q48" s="47" t="str">
        <x:f>IF(C48="","",IF(OR(J48&gt;IFERROR(INDEX('Normal Parameters'!$G$5:$G$104,MATCH(1,('Normal Parameters'!$A$5:$A$104=D48)*('Normal Parameters'!$B$5:$B$104=E48)*('Normal Parameters'!$C$5:$C$104="Behavior Score"),0)),99),F48&lt;IFERROR(INDEX('Normal Parameters'!$E$5:$E$104,MATCH(1,('Normal Parameters'!$A$5:$A$104=D48)*('Normal Parameters'!$B$5:$B$104=E48)*('Normal Parameters'!$C$5:$C$104="Weight"),0)),0),F48&gt;IFERROR(INDEX('Normal Parameters'!$G$5:$G$104,MATCH(1,('Normal Parameters'!$A$5:$A$104=D48)*('Normal Parameters'!$B$5:$B$104=E48)*('Normal Parameters'!$C$5:$C$104="Weight"),0)),9999),I48&lt;IFERROR(INDEX('Normal Parameters'!$E$5:$E$104,MATCH(1,('Normal Parameters'!$A$5:$A$104=D48)*('Normal Parameters'!$B$5:$B$104=E48)*('Normal Parameters'!$C$5:$C$104="Temperature"),0)),0),I48&gt;IFERROR(INDEX('Normal Parameters'!$G$5:$G$104,MATCH(1,('Normal Parameters'!$A$5:$A$104=D48)*('Normal Parameters'!$B$5:$B$104=E48)*('Normal Parameters'!$C$5:$C$104="Temperature"),0)),9999)),"Check","Normal"))</x:f>
      </x:c>
    </x:row>
    <x:row r="49" ht="15" hidden="0" customHeight="1">
      <x:c r="A49" s="74"/>
      <x:c r="B49" s="46"/>
      <x:c r="C49" s="46"/>
      <x:c r="D49" s="46" t="str">
        <x:f>IFERROR(XLOOKUP(C49,'Animals'!$A$5:$A$104,'Animals'!$C$5:$C$104,""),"")</x:f>
      </x:c>
      <x:c r="E49" s="46" t="str">
        <x:f>IFERROR(XLOOKUP(C49,'Animals'!$A$5:$A$104,'Animals'!$H$5:$H$104,""),"")</x:f>
      </x:c>
      <x:c r="F49" s="71"/>
      <x:c r="G49" s="71"/>
      <x:c r="H49" s="71"/>
      <x:c r="I49" s="71"/>
      <x:c r="J49" s="71"/>
      <x:c r="K49" s="46"/>
      <x:c r="L49" s="46"/>
      <x:c r="M49" s="46"/>
      <x:c r="N49" s="46"/>
      <x:c r="O49" s="46"/>
      <x:c r="P49" s="46"/>
      <x:c r="Q49" s="47" t="str">
        <x:f>IF(C49="","",IF(OR(J49&gt;IFERROR(INDEX('Normal Parameters'!$G$5:$G$104,MATCH(1,('Normal Parameters'!$A$5:$A$104=D49)*('Normal Parameters'!$B$5:$B$104=E49)*('Normal Parameters'!$C$5:$C$104="Behavior Score"),0)),99),F49&lt;IFERROR(INDEX('Normal Parameters'!$E$5:$E$104,MATCH(1,('Normal Parameters'!$A$5:$A$104=D49)*('Normal Parameters'!$B$5:$B$104=E49)*('Normal Parameters'!$C$5:$C$104="Weight"),0)),0),F49&gt;IFERROR(INDEX('Normal Parameters'!$G$5:$G$104,MATCH(1,('Normal Parameters'!$A$5:$A$104=D49)*('Normal Parameters'!$B$5:$B$104=E49)*('Normal Parameters'!$C$5:$C$104="Weight"),0)),9999),I49&lt;IFERROR(INDEX('Normal Parameters'!$E$5:$E$104,MATCH(1,('Normal Parameters'!$A$5:$A$104=D49)*('Normal Parameters'!$B$5:$B$104=E49)*('Normal Parameters'!$C$5:$C$104="Temperature"),0)),0),I49&gt;IFERROR(INDEX('Normal Parameters'!$G$5:$G$104,MATCH(1,('Normal Parameters'!$A$5:$A$104=D49)*('Normal Parameters'!$B$5:$B$104=E49)*('Normal Parameters'!$C$5:$C$104="Temperature"),0)),9999)),"Check","Normal"))</x:f>
      </x:c>
    </x:row>
    <x:row r="50" ht="15" hidden="0" customHeight="1">
      <x:c r="A50" s="74"/>
      <x:c r="B50" s="46"/>
      <x:c r="C50" s="46"/>
      <x:c r="D50" s="46" t="str">
        <x:f>IFERROR(XLOOKUP(C50,'Animals'!$A$5:$A$104,'Animals'!$C$5:$C$104,""),"")</x:f>
      </x:c>
      <x:c r="E50" s="46" t="str">
        <x:f>IFERROR(XLOOKUP(C50,'Animals'!$A$5:$A$104,'Animals'!$H$5:$H$104,""),"")</x:f>
      </x:c>
      <x:c r="F50" s="71"/>
      <x:c r="G50" s="71"/>
      <x:c r="H50" s="71"/>
      <x:c r="I50" s="71"/>
      <x:c r="J50" s="71"/>
      <x:c r="K50" s="46"/>
      <x:c r="L50" s="46"/>
      <x:c r="M50" s="46"/>
      <x:c r="N50" s="46"/>
      <x:c r="O50" s="46"/>
      <x:c r="P50" s="46"/>
      <x:c r="Q50" s="47" t="str">
        <x:f>IF(C50="","",IF(OR(J50&gt;IFERROR(INDEX('Normal Parameters'!$G$5:$G$104,MATCH(1,('Normal Parameters'!$A$5:$A$104=D50)*('Normal Parameters'!$B$5:$B$104=E50)*('Normal Parameters'!$C$5:$C$104="Behavior Score"),0)),99),F50&lt;IFERROR(INDEX('Normal Parameters'!$E$5:$E$104,MATCH(1,('Normal Parameters'!$A$5:$A$104=D50)*('Normal Parameters'!$B$5:$B$104=E50)*('Normal Parameters'!$C$5:$C$104="Weight"),0)),0),F50&gt;IFERROR(INDEX('Normal Parameters'!$G$5:$G$104,MATCH(1,('Normal Parameters'!$A$5:$A$104=D50)*('Normal Parameters'!$B$5:$B$104=E50)*('Normal Parameters'!$C$5:$C$104="Weight"),0)),9999),I50&lt;IFERROR(INDEX('Normal Parameters'!$E$5:$E$104,MATCH(1,('Normal Parameters'!$A$5:$A$104=D50)*('Normal Parameters'!$B$5:$B$104=E50)*('Normal Parameters'!$C$5:$C$104="Temperature"),0)),0),I50&gt;IFERROR(INDEX('Normal Parameters'!$G$5:$G$104,MATCH(1,('Normal Parameters'!$A$5:$A$104=D50)*('Normal Parameters'!$B$5:$B$104=E50)*('Normal Parameters'!$C$5:$C$104="Temperature"),0)),9999)),"Check","Normal"))</x:f>
      </x:c>
    </x:row>
    <x:row r="51" ht="15" hidden="0" customHeight="1">
      <x:c r="A51" s="74"/>
      <x:c r="B51" s="46"/>
      <x:c r="C51" s="46"/>
      <x:c r="D51" s="46" t="str">
        <x:f>IFERROR(XLOOKUP(C51,'Animals'!$A$5:$A$104,'Animals'!$C$5:$C$104,""),"")</x:f>
      </x:c>
      <x:c r="E51" s="46" t="str">
        <x:f>IFERROR(XLOOKUP(C51,'Animals'!$A$5:$A$104,'Animals'!$H$5:$H$104,""),"")</x:f>
      </x:c>
      <x:c r="F51" s="71"/>
      <x:c r="G51" s="71"/>
      <x:c r="H51" s="71"/>
      <x:c r="I51" s="71"/>
      <x:c r="J51" s="71"/>
      <x:c r="K51" s="46"/>
      <x:c r="L51" s="46"/>
      <x:c r="M51" s="46"/>
      <x:c r="N51" s="46"/>
      <x:c r="O51" s="46"/>
      <x:c r="P51" s="46"/>
      <x:c r="Q51" s="47" t="str">
        <x:f>IF(C51="","",IF(OR(J51&gt;IFERROR(INDEX('Normal Parameters'!$G$5:$G$104,MATCH(1,('Normal Parameters'!$A$5:$A$104=D51)*('Normal Parameters'!$B$5:$B$104=E51)*('Normal Parameters'!$C$5:$C$104="Behavior Score"),0)),99),F51&lt;IFERROR(INDEX('Normal Parameters'!$E$5:$E$104,MATCH(1,('Normal Parameters'!$A$5:$A$104=D51)*('Normal Parameters'!$B$5:$B$104=E51)*('Normal Parameters'!$C$5:$C$104="Weight"),0)),0),F51&gt;IFERROR(INDEX('Normal Parameters'!$G$5:$G$104,MATCH(1,('Normal Parameters'!$A$5:$A$104=D51)*('Normal Parameters'!$B$5:$B$104=E51)*('Normal Parameters'!$C$5:$C$104="Weight"),0)),9999),I51&lt;IFERROR(INDEX('Normal Parameters'!$E$5:$E$104,MATCH(1,('Normal Parameters'!$A$5:$A$104=D51)*('Normal Parameters'!$B$5:$B$104=E51)*('Normal Parameters'!$C$5:$C$104="Temperature"),0)),0),I51&gt;IFERROR(INDEX('Normal Parameters'!$G$5:$G$104,MATCH(1,('Normal Parameters'!$A$5:$A$104=D51)*('Normal Parameters'!$B$5:$B$104=E51)*('Normal Parameters'!$C$5:$C$104="Temperature"),0)),9999)),"Check","Normal"))</x:f>
      </x:c>
    </x:row>
    <x:row r="52" ht="15" hidden="0" customHeight="1">
      <x:c r="A52" s="74"/>
      <x:c r="B52" s="46"/>
      <x:c r="C52" s="46"/>
      <x:c r="D52" s="46" t="str">
        <x:f>IFERROR(XLOOKUP(C52,'Animals'!$A$5:$A$104,'Animals'!$C$5:$C$104,""),"")</x:f>
      </x:c>
      <x:c r="E52" s="46" t="str">
        <x:f>IFERROR(XLOOKUP(C52,'Animals'!$A$5:$A$104,'Animals'!$H$5:$H$104,""),"")</x:f>
      </x:c>
      <x:c r="F52" s="71"/>
      <x:c r="G52" s="71"/>
      <x:c r="H52" s="71"/>
      <x:c r="I52" s="71"/>
      <x:c r="J52" s="71"/>
      <x:c r="K52" s="46"/>
      <x:c r="L52" s="46"/>
      <x:c r="M52" s="46"/>
      <x:c r="N52" s="46"/>
      <x:c r="O52" s="46"/>
      <x:c r="P52" s="46"/>
      <x:c r="Q52" s="47" t="str">
        <x:f>IF(C52="","",IF(OR(J52&gt;IFERROR(INDEX('Normal Parameters'!$G$5:$G$104,MATCH(1,('Normal Parameters'!$A$5:$A$104=D52)*('Normal Parameters'!$B$5:$B$104=E52)*('Normal Parameters'!$C$5:$C$104="Behavior Score"),0)),99),F52&lt;IFERROR(INDEX('Normal Parameters'!$E$5:$E$104,MATCH(1,('Normal Parameters'!$A$5:$A$104=D52)*('Normal Parameters'!$B$5:$B$104=E52)*('Normal Parameters'!$C$5:$C$104="Weight"),0)),0),F52&gt;IFERROR(INDEX('Normal Parameters'!$G$5:$G$104,MATCH(1,('Normal Parameters'!$A$5:$A$104=D52)*('Normal Parameters'!$B$5:$B$104=E52)*('Normal Parameters'!$C$5:$C$104="Weight"),0)),9999),I52&lt;IFERROR(INDEX('Normal Parameters'!$E$5:$E$104,MATCH(1,('Normal Parameters'!$A$5:$A$104=D52)*('Normal Parameters'!$B$5:$B$104=E52)*('Normal Parameters'!$C$5:$C$104="Temperature"),0)),0),I52&gt;IFERROR(INDEX('Normal Parameters'!$G$5:$G$104,MATCH(1,('Normal Parameters'!$A$5:$A$104=D52)*('Normal Parameters'!$B$5:$B$104=E52)*('Normal Parameters'!$C$5:$C$104="Temperature"),0)),9999)),"Check","Normal"))</x:f>
      </x:c>
    </x:row>
    <x:row r="53" ht="15" hidden="0" customHeight="1">
      <x:c r="A53" s="74"/>
      <x:c r="B53" s="46"/>
      <x:c r="C53" s="46"/>
      <x:c r="D53" s="46" t="str">
        <x:f>IFERROR(XLOOKUP(C53,'Animals'!$A$5:$A$104,'Animals'!$C$5:$C$104,""),"")</x:f>
      </x:c>
      <x:c r="E53" s="46" t="str">
        <x:f>IFERROR(XLOOKUP(C53,'Animals'!$A$5:$A$104,'Animals'!$H$5:$H$104,""),"")</x:f>
      </x:c>
      <x:c r="F53" s="71"/>
      <x:c r="G53" s="71"/>
      <x:c r="H53" s="71"/>
      <x:c r="I53" s="71"/>
      <x:c r="J53" s="71"/>
      <x:c r="K53" s="46"/>
      <x:c r="L53" s="46"/>
      <x:c r="M53" s="46"/>
      <x:c r="N53" s="46"/>
      <x:c r="O53" s="46"/>
      <x:c r="P53" s="46"/>
      <x:c r="Q53" s="47" t="str">
        <x:f>IF(C53="","",IF(OR(J53&gt;IFERROR(INDEX('Normal Parameters'!$G$5:$G$104,MATCH(1,('Normal Parameters'!$A$5:$A$104=D53)*('Normal Parameters'!$B$5:$B$104=E53)*('Normal Parameters'!$C$5:$C$104="Behavior Score"),0)),99),F53&lt;IFERROR(INDEX('Normal Parameters'!$E$5:$E$104,MATCH(1,('Normal Parameters'!$A$5:$A$104=D53)*('Normal Parameters'!$B$5:$B$104=E53)*('Normal Parameters'!$C$5:$C$104="Weight"),0)),0),F53&gt;IFERROR(INDEX('Normal Parameters'!$G$5:$G$104,MATCH(1,('Normal Parameters'!$A$5:$A$104=D53)*('Normal Parameters'!$B$5:$B$104=E53)*('Normal Parameters'!$C$5:$C$104="Weight"),0)),9999),I53&lt;IFERROR(INDEX('Normal Parameters'!$E$5:$E$104,MATCH(1,('Normal Parameters'!$A$5:$A$104=D53)*('Normal Parameters'!$B$5:$B$104=E53)*('Normal Parameters'!$C$5:$C$104="Temperature"),0)),0),I53&gt;IFERROR(INDEX('Normal Parameters'!$G$5:$G$104,MATCH(1,('Normal Parameters'!$A$5:$A$104=D53)*('Normal Parameters'!$B$5:$B$104=E53)*('Normal Parameters'!$C$5:$C$104="Temperature"),0)),9999)),"Check","Normal"))</x:f>
      </x:c>
    </x:row>
    <x:row r="54" ht="15" hidden="0" customHeight="1">
      <x:c r="A54" s="74"/>
      <x:c r="B54" s="46"/>
      <x:c r="C54" s="46"/>
      <x:c r="D54" s="46" t="str">
        <x:f>IFERROR(XLOOKUP(C54,'Animals'!$A$5:$A$104,'Animals'!$C$5:$C$104,""),"")</x:f>
      </x:c>
      <x:c r="E54" s="46" t="str">
        <x:f>IFERROR(XLOOKUP(C54,'Animals'!$A$5:$A$104,'Animals'!$H$5:$H$104,""),"")</x:f>
      </x:c>
      <x:c r="F54" s="71"/>
      <x:c r="G54" s="71"/>
      <x:c r="H54" s="71"/>
      <x:c r="I54" s="71"/>
      <x:c r="J54" s="71"/>
      <x:c r="K54" s="46"/>
      <x:c r="L54" s="46"/>
      <x:c r="M54" s="46"/>
      <x:c r="N54" s="46"/>
      <x:c r="O54" s="46"/>
      <x:c r="P54" s="46"/>
      <x:c r="Q54" s="47" t="str">
        <x:f>IF(C54="","",IF(OR(J54&gt;IFERROR(INDEX('Normal Parameters'!$G$5:$G$104,MATCH(1,('Normal Parameters'!$A$5:$A$104=D54)*('Normal Parameters'!$B$5:$B$104=E54)*('Normal Parameters'!$C$5:$C$104="Behavior Score"),0)),99),F54&lt;IFERROR(INDEX('Normal Parameters'!$E$5:$E$104,MATCH(1,('Normal Parameters'!$A$5:$A$104=D54)*('Normal Parameters'!$B$5:$B$104=E54)*('Normal Parameters'!$C$5:$C$104="Weight"),0)),0),F54&gt;IFERROR(INDEX('Normal Parameters'!$G$5:$G$104,MATCH(1,('Normal Parameters'!$A$5:$A$104=D54)*('Normal Parameters'!$B$5:$B$104=E54)*('Normal Parameters'!$C$5:$C$104="Weight"),0)),9999),I54&lt;IFERROR(INDEX('Normal Parameters'!$E$5:$E$104,MATCH(1,('Normal Parameters'!$A$5:$A$104=D54)*('Normal Parameters'!$B$5:$B$104=E54)*('Normal Parameters'!$C$5:$C$104="Temperature"),0)),0),I54&gt;IFERROR(INDEX('Normal Parameters'!$G$5:$G$104,MATCH(1,('Normal Parameters'!$A$5:$A$104=D54)*('Normal Parameters'!$B$5:$B$104=E54)*('Normal Parameters'!$C$5:$C$104="Temperature"),0)),9999)),"Check","Normal"))</x:f>
      </x:c>
    </x:row>
    <x:row r="55" ht="15" hidden="0" customHeight="1">
      <x:c r="A55" s="74"/>
      <x:c r="B55" s="46"/>
      <x:c r="C55" s="46"/>
      <x:c r="D55" s="46" t="str">
        <x:f>IFERROR(XLOOKUP(C55,'Animals'!$A$5:$A$104,'Animals'!$C$5:$C$104,""),"")</x:f>
      </x:c>
      <x:c r="E55" s="46" t="str">
        <x:f>IFERROR(XLOOKUP(C55,'Animals'!$A$5:$A$104,'Animals'!$H$5:$H$104,""),"")</x:f>
      </x:c>
      <x:c r="F55" s="71"/>
      <x:c r="G55" s="71"/>
      <x:c r="H55" s="71"/>
      <x:c r="I55" s="71"/>
      <x:c r="J55" s="71"/>
      <x:c r="K55" s="46"/>
      <x:c r="L55" s="46"/>
      <x:c r="M55" s="46"/>
      <x:c r="N55" s="46"/>
      <x:c r="O55" s="46"/>
      <x:c r="P55" s="46"/>
      <x:c r="Q55" s="47" t="str">
        <x:f>IF(C55="","",IF(OR(J55&gt;IFERROR(INDEX('Normal Parameters'!$G$5:$G$104,MATCH(1,('Normal Parameters'!$A$5:$A$104=D55)*('Normal Parameters'!$B$5:$B$104=E55)*('Normal Parameters'!$C$5:$C$104="Behavior Score"),0)),99),F55&lt;IFERROR(INDEX('Normal Parameters'!$E$5:$E$104,MATCH(1,('Normal Parameters'!$A$5:$A$104=D55)*('Normal Parameters'!$B$5:$B$104=E55)*('Normal Parameters'!$C$5:$C$104="Weight"),0)),0),F55&gt;IFERROR(INDEX('Normal Parameters'!$G$5:$G$104,MATCH(1,('Normal Parameters'!$A$5:$A$104=D55)*('Normal Parameters'!$B$5:$B$104=E55)*('Normal Parameters'!$C$5:$C$104="Weight"),0)),9999),I55&lt;IFERROR(INDEX('Normal Parameters'!$E$5:$E$104,MATCH(1,('Normal Parameters'!$A$5:$A$104=D55)*('Normal Parameters'!$B$5:$B$104=E55)*('Normal Parameters'!$C$5:$C$104="Temperature"),0)),0),I55&gt;IFERROR(INDEX('Normal Parameters'!$G$5:$G$104,MATCH(1,('Normal Parameters'!$A$5:$A$104=D55)*('Normal Parameters'!$B$5:$B$104=E55)*('Normal Parameters'!$C$5:$C$104="Temperature"),0)),9999)),"Check","Normal"))</x:f>
      </x:c>
    </x:row>
    <x:row r="56" ht="15" hidden="0" customHeight="1">
      <x:c r="A56" s="74"/>
      <x:c r="B56" s="46"/>
      <x:c r="C56" s="46"/>
      <x:c r="D56" s="46" t="str">
        <x:f>IFERROR(XLOOKUP(C56,'Animals'!$A$5:$A$104,'Animals'!$C$5:$C$104,""),"")</x:f>
      </x:c>
      <x:c r="E56" s="46" t="str">
        <x:f>IFERROR(XLOOKUP(C56,'Animals'!$A$5:$A$104,'Animals'!$H$5:$H$104,""),"")</x:f>
      </x:c>
      <x:c r="F56" s="71"/>
      <x:c r="G56" s="71"/>
      <x:c r="H56" s="71"/>
      <x:c r="I56" s="71"/>
      <x:c r="J56" s="71"/>
      <x:c r="K56" s="46"/>
      <x:c r="L56" s="46"/>
      <x:c r="M56" s="46"/>
      <x:c r="N56" s="46"/>
      <x:c r="O56" s="46"/>
      <x:c r="P56" s="46"/>
      <x:c r="Q56" s="47" t="str">
        <x:f>IF(C56="","",IF(OR(J56&gt;IFERROR(INDEX('Normal Parameters'!$G$5:$G$104,MATCH(1,('Normal Parameters'!$A$5:$A$104=D56)*('Normal Parameters'!$B$5:$B$104=E56)*('Normal Parameters'!$C$5:$C$104="Behavior Score"),0)),99),F56&lt;IFERROR(INDEX('Normal Parameters'!$E$5:$E$104,MATCH(1,('Normal Parameters'!$A$5:$A$104=D56)*('Normal Parameters'!$B$5:$B$104=E56)*('Normal Parameters'!$C$5:$C$104="Weight"),0)),0),F56&gt;IFERROR(INDEX('Normal Parameters'!$G$5:$G$104,MATCH(1,('Normal Parameters'!$A$5:$A$104=D56)*('Normal Parameters'!$B$5:$B$104=E56)*('Normal Parameters'!$C$5:$C$104="Weight"),0)),9999),I56&lt;IFERROR(INDEX('Normal Parameters'!$E$5:$E$104,MATCH(1,('Normal Parameters'!$A$5:$A$104=D56)*('Normal Parameters'!$B$5:$B$104=E56)*('Normal Parameters'!$C$5:$C$104="Temperature"),0)),0),I56&gt;IFERROR(INDEX('Normal Parameters'!$G$5:$G$104,MATCH(1,('Normal Parameters'!$A$5:$A$104=D56)*('Normal Parameters'!$B$5:$B$104=E56)*('Normal Parameters'!$C$5:$C$104="Temperature"),0)),9999)),"Check","Normal"))</x:f>
      </x:c>
    </x:row>
    <x:row r="57" ht="15" hidden="0" customHeight="1">
      <x:c r="A57" s="74"/>
      <x:c r="B57" s="46"/>
      <x:c r="C57" s="46"/>
      <x:c r="D57" s="46" t="str">
        <x:f>IFERROR(XLOOKUP(C57,'Animals'!$A$5:$A$104,'Animals'!$C$5:$C$104,""),"")</x:f>
      </x:c>
      <x:c r="E57" s="46" t="str">
        <x:f>IFERROR(XLOOKUP(C57,'Animals'!$A$5:$A$104,'Animals'!$H$5:$H$104,""),"")</x:f>
      </x:c>
      <x:c r="F57" s="71"/>
      <x:c r="G57" s="71"/>
      <x:c r="H57" s="71"/>
      <x:c r="I57" s="71"/>
      <x:c r="J57" s="71"/>
      <x:c r="K57" s="46"/>
      <x:c r="L57" s="46"/>
      <x:c r="M57" s="46"/>
      <x:c r="N57" s="46"/>
      <x:c r="O57" s="46"/>
      <x:c r="P57" s="46"/>
      <x:c r="Q57" s="47" t="str">
        <x:f>IF(C57="","",IF(OR(J57&gt;IFERROR(INDEX('Normal Parameters'!$G$5:$G$104,MATCH(1,('Normal Parameters'!$A$5:$A$104=D57)*('Normal Parameters'!$B$5:$B$104=E57)*('Normal Parameters'!$C$5:$C$104="Behavior Score"),0)),99),F57&lt;IFERROR(INDEX('Normal Parameters'!$E$5:$E$104,MATCH(1,('Normal Parameters'!$A$5:$A$104=D57)*('Normal Parameters'!$B$5:$B$104=E57)*('Normal Parameters'!$C$5:$C$104="Weight"),0)),0),F57&gt;IFERROR(INDEX('Normal Parameters'!$G$5:$G$104,MATCH(1,('Normal Parameters'!$A$5:$A$104=D57)*('Normal Parameters'!$B$5:$B$104=E57)*('Normal Parameters'!$C$5:$C$104="Weight"),0)),9999),I57&lt;IFERROR(INDEX('Normal Parameters'!$E$5:$E$104,MATCH(1,('Normal Parameters'!$A$5:$A$104=D57)*('Normal Parameters'!$B$5:$B$104=E57)*('Normal Parameters'!$C$5:$C$104="Temperature"),0)),0),I57&gt;IFERROR(INDEX('Normal Parameters'!$G$5:$G$104,MATCH(1,('Normal Parameters'!$A$5:$A$104=D57)*('Normal Parameters'!$B$5:$B$104=E57)*('Normal Parameters'!$C$5:$C$104="Temperature"),0)),9999)),"Check","Normal"))</x:f>
      </x:c>
    </x:row>
    <x:row r="58" ht="15" hidden="0" customHeight="1">
      <x:c r="A58" s="74"/>
      <x:c r="B58" s="46"/>
      <x:c r="C58" s="46"/>
      <x:c r="D58" s="46" t="str">
        <x:f>IFERROR(XLOOKUP(C58,'Animals'!$A$5:$A$104,'Animals'!$C$5:$C$104,""),"")</x:f>
      </x:c>
      <x:c r="E58" s="46" t="str">
        <x:f>IFERROR(XLOOKUP(C58,'Animals'!$A$5:$A$104,'Animals'!$H$5:$H$104,""),"")</x:f>
      </x:c>
      <x:c r="F58" s="71"/>
      <x:c r="G58" s="71"/>
      <x:c r="H58" s="71"/>
      <x:c r="I58" s="71"/>
      <x:c r="J58" s="71"/>
      <x:c r="K58" s="46"/>
      <x:c r="L58" s="46"/>
      <x:c r="M58" s="46"/>
      <x:c r="N58" s="46"/>
      <x:c r="O58" s="46"/>
      <x:c r="P58" s="46"/>
      <x:c r="Q58" s="47" t="str">
        <x:f>IF(C58="","",IF(OR(J58&gt;IFERROR(INDEX('Normal Parameters'!$G$5:$G$104,MATCH(1,('Normal Parameters'!$A$5:$A$104=D58)*('Normal Parameters'!$B$5:$B$104=E58)*('Normal Parameters'!$C$5:$C$104="Behavior Score"),0)),99),F58&lt;IFERROR(INDEX('Normal Parameters'!$E$5:$E$104,MATCH(1,('Normal Parameters'!$A$5:$A$104=D58)*('Normal Parameters'!$B$5:$B$104=E58)*('Normal Parameters'!$C$5:$C$104="Weight"),0)),0),F58&gt;IFERROR(INDEX('Normal Parameters'!$G$5:$G$104,MATCH(1,('Normal Parameters'!$A$5:$A$104=D58)*('Normal Parameters'!$B$5:$B$104=E58)*('Normal Parameters'!$C$5:$C$104="Weight"),0)),9999),I58&lt;IFERROR(INDEX('Normal Parameters'!$E$5:$E$104,MATCH(1,('Normal Parameters'!$A$5:$A$104=D58)*('Normal Parameters'!$B$5:$B$104=E58)*('Normal Parameters'!$C$5:$C$104="Temperature"),0)),0),I58&gt;IFERROR(INDEX('Normal Parameters'!$G$5:$G$104,MATCH(1,('Normal Parameters'!$A$5:$A$104=D58)*('Normal Parameters'!$B$5:$B$104=E58)*('Normal Parameters'!$C$5:$C$104="Temperature"),0)),9999)),"Check","Normal"))</x:f>
      </x:c>
    </x:row>
    <x:row r="59" ht="15" hidden="0" customHeight="1">
      <x:c r="A59" s="74"/>
      <x:c r="B59" s="46"/>
      <x:c r="C59" s="46"/>
      <x:c r="D59" s="46" t="str">
        <x:f>IFERROR(XLOOKUP(C59,'Animals'!$A$5:$A$104,'Animals'!$C$5:$C$104,""),"")</x:f>
      </x:c>
      <x:c r="E59" s="46" t="str">
        <x:f>IFERROR(XLOOKUP(C59,'Animals'!$A$5:$A$104,'Animals'!$H$5:$H$104,""),"")</x:f>
      </x:c>
      <x:c r="F59" s="71"/>
      <x:c r="G59" s="71"/>
      <x:c r="H59" s="71"/>
      <x:c r="I59" s="71"/>
      <x:c r="J59" s="71"/>
      <x:c r="K59" s="46"/>
      <x:c r="L59" s="46"/>
      <x:c r="M59" s="46"/>
      <x:c r="N59" s="46"/>
      <x:c r="O59" s="46"/>
      <x:c r="P59" s="46"/>
      <x:c r="Q59" s="47" t="str">
        <x:f>IF(C59="","",IF(OR(J59&gt;IFERROR(INDEX('Normal Parameters'!$G$5:$G$104,MATCH(1,('Normal Parameters'!$A$5:$A$104=D59)*('Normal Parameters'!$B$5:$B$104=E59)*('Normal Parameters'!$C$5:$C$104="Behavior Score"),0)),99),F59&lt;IFERROR(INDEX('Normal Parameters'!$E$5:$E$104,MATCH(1,('Normal Parameters'!$A$5:$A$104=D59)*('Normal Parameters'!$B$5:$B$104=E59)*('Normal Parameters'!$C$5:$C$104="Weight"),0)),0),F59&gt;IFERROR(INDEX('Normal Parameters'!$G$5:$G$104,MATCH(1,('Normal Parameters'!$A$5:$A$104=D59)*('Normal Parameters'!$B$5:$B$104=E59)*('Normal Parameters'!$C$5:$C$104="Weight"),0)),9999),I59&lt;IFERROR(INDEX('Normal Parameters'!$E$5:$E$104,MATCH(1,('Normal Parameters'!$A$5:$A$104=D59)*('Normal Parameters'!$B$5:$B$104=E59)*('Normal Parameters'!$C$5:$C$104="Temperature"),0)),0),I59&gt;IFERROR(INDEX('Normal Parameters'!$G$5:$G$104,MATCH(1,('Normal Parameters'!$A$5:$A$104=D59)*('Normal Parameters'!$B$5:$B$104=E59)*('Normal Parameters'!$C$5:$C$104="Temperature"),0)),9999)),"Check","Normal"))</x:f>
      </x:c>
    </x:row>
    <x:row r="60" ht="15" hidden="0" customHeight="1">
      <x:c r="A60" s="74"/>
      <x:c r="B60" s="46"/>
      <x:c r="C60" s="46"/>
      <x:c r="D60" s="46" t="str">
        <x:f>IFERROR(XLOOKUP(C60,'Animals'!$A$5:$A$104,'Animals'!$C$5:$C$104,""),"")</x:f>
      </x:c>
      <x:c r="E60" s="46" t="str">
        <x:f>IFERROR(XLOOKUP(C60,'Animals'!$A$5:$A$104,'Animals'!$H$5:$H$104,""),"")</x:f>
      </x:c>
      <x:c r="F60" s="71"/>
      <x:c r="G60" s="71"/>
      <x:c r="H60" s="71"/>
      <x:c r="I60" s="71"/>
      <x:c r="J60" s="71"/>
      <x:c r="K60" s="46"/>
      <x:c r="L60" s="46"/>
      <x:c r="M60" s="46"/>
      <x:c r="N60" s="46"/>
      <x:c r="O60" s="46"/>
      <x:c r="P60" s="46"/>
      <x:c r="Q60" s="47" t="str">
        <x:f>IF(C60="","",IF(OR(J60&gt;IFERROR(INDEX('Normal Parameters'!$G$5:$G$104,MATCH(1,('Normal Parameters'!$A$5:$A$104=D60)*('Normal Parameters'!$B$5:$B$104=E60)*('Normal Parameters'!$C$5:$C$104="Behavior Score"),0)),99),F60&lt;IFERROR(INDEX('Normal Parameters'!$E$5:$E$104,MATCH(1,('Normal Parameters'!$A$5:$A$104=D60)*('Normal Parameters'!$B$5:$B$104=E60)*('Normal Parameters'!$C$5:$C$104="Weight"),0)),0),F60&gt;IFERROR(INDEX('Normal Parameters'!$G$5:$G$104,MATCH(1,('Normal Parameters'!$A$5:$A$104=D60)*('Normal Parameters'!$B$5:$B$104=E60)*('Normal Parameters'!$C$5:$C$104="Weight"),0)),9999),I60&lt;IFERROR(INDEX('Normal Parameters'!$E$5:$E$104,MATCH(1,('Normal Parameters'!$A$5:$A$104=D60)*('Normal Parameters'!$B$5:$B$104=E60)*('Normal Parameters'!$C$5:$C$104="Temperature"),0)),0),I60&gt;IFERROR(INDEX('Normal Parameters'!$G$5:$G$104,MATCH(1,('Normal Parameters'!$A$5:$A$104=D60)*('Normal Parameters'!$B$5:$B$104=E60)*('Normal Parameters'!$C$5:$C$104="Temperature"),0)),9999)),"Check","Normal"))</x:f>
      </x:c>
    </x:row>
    <x:row r="61" ht="15" hidden="0" customHeight="1">
      <x:c r="A61" s="74"/>
      <x:c r="B61" s="46"/>
      <x:c r="C61" s="46"/>
      <x:c r="D61" s="46" t="str">
        <x:f>IFERROR(XLOOKUP(C61,'Animals'!$A$5:$A$104,'Animals'!$C$5:$C$104,""),"")</x:f>
      </x:c>
      <x:c r="E61" s="46" t="str">
        <x:f>IFERROR(XLOOKUP(C61,'Animals'!$A$5:$A$104,'Animals'!$H$5:$H$104,""),"")</x:f>
      </x:c>
      <x:c r="F61" s="71"/>
      <x:c r="G61" s="71"/>
      <x:c r="H61" s="71"/>
      <x:c r="I61" s="71"/>
      <x:c r="J61" s="71"/>
      <x:c r="K61" s="46"/>
      <x:c r="L61" s="46"/>
      <x:c r="M61" s="46"/>
      <x:c r="N61" s="46"/>
      <x:c r="O61" s="46"/>
      <x:c r="P61" s="46"/>
      <x:c r="Q61" s="47" t="str">
        <x:f>IF(C61="","",IF(OR(J61&gt;IFERROR(INDEX('Normal Parameters'!$G$5:$G$104,MATCH(1,('Normal Parameters'!$A$5:$A$104=D61)*('Normal Parameters'!$B$5:$B$104=E61)*('Normal Parameters'!$C$5:$C$104="Behavior Score"),0)),99),F61&lt;IFERROR(INDEX('Normal Parameters'!$E$5:$E$104,MATCH(1,('Normal Parameters'!$A$5:$A$104=D61)*('Normal Parameters'!$B$5:$B$104=E61)*('Normal Parameters'!$C$5:$C$104="Weight"),0)),0),F61&gt;IFERROR(INDEX('Normal Parameters'!$G$5:$G$104,MATCH(1,('Normal Parameters'!$A$5:$A$104=D61)*('Normal Parameters'!$B$5:$B$104=E61)*('Normal Parameters'!$C$5:$C$104="Weight"),0)),9999),I61&lt;IFERROR(INDEX('Normal Parameters'!$E$5:$E$104,MATCH(1,('Normal Parameters'!$A$5:$A$104=D61)*('Normal Parameters'!$B$5:$B$104=E61)*('Normal Parameters'!$C$5:$C$104="Temperature"),0)),0),I61&gt;IFERROR(INDEX('Normal Parameters'!$G$5:$G$104,MATCH(1,('Normal Parameters'!$A$5:$A$104=D61)*('Normal Parameters'!$B$5:$B$104=E61)*('Normal Parameters'!$C$5:$C$104="Temperature"),0)),9999)),"Check","Normal"))</x:f>
      </x:c>
    </x:row>
    <x:row r="62" ht="15" hidden="0" customHeight="1">
      <x:c r="A62" s="74"/>
      <x:c r="B62" s="46"/>
      <x:c r="C62" s="46"/>
      <x:c r="D62" s="46" t="str">
        <x:f>IFERROR(XLOOKUP(C62,'Animals'!$A$5:$A$104,'Animals'!$C$5:$C$104,""),"")</x:f>
      </x:c>
      <x:c r="E62" s="46" t="str">
        <x:f>IFERROR(XLOOKUP(C62,'Animals'!$A$5:$A$104,'Animals'!$H$5:$H$104,""),"")</x:f>
      </x:c>
      <x:c r="F62" s="71"/>
      <x:c r="G62" s="71"/>
      <x:c r="H62" s="71"/>
      <x:c r="I62" s="71"/>
      <x:c r="J62" s="71"/>
      <x:c r="K62" s="46"/>
      <x:c r="L62" s="46"/>
      <x:c r="M62" s="46"/>
      <x:c r="N62" s="46"/>
      <x:c r="O62" s="46"/>
      <x:c r="P62" s="46"/>
      <x:c r="Q62" s="47" t="str">
        <x:f>IF(C62="","",IF(OR(J62&gt;IFERROR(INDEX('Normal Parameters'!$G$5:$G$104,MATCH(1,('Normal Parameters'!$A$5:$A$104=D62)*('Normal Parameters'!$B$5:$B$104=E62)*('Normal Parameters'!$C$5:$C$104="Behavior Score"),0)),99),F62&lt;IFERROR(INDEX('Normal Parameters'!$E$5:$E$104,MATCH(1,('Normal Parameters'!$A$5:$A$104=D62)*('Normal Parameters'!$B$5:$B$104=E62)*('Normal Parameters'!$C$5:$C$104="Weight"),0)),0),F62&gt;IFERROR(INDEX('Normal Parameters'!$G$5:$G$104,MATCH(1,('Normal Parameters'!$A$5:$A$104=D62)*('Normal Parameters'!$B$5:$B$104=E62)*('Normal Parameters'!$C$5:$C$104="Weight"),0)),9999),I62&lt;IFERROR(INDEX('Normal Parameters'!$E$5:$E$104,MATCH(1,('Normal Parameters'!$A$5:$A$104=D62)*('Normal Parameters'!$B$5:$B$104=E62)*('Normal Parameters'!$C$5:$C$104="Temperature"),0)),0),I62&gt;IFERROR(INDEX('Normal Parameters'!$G$5:$G$104,MATCH(1,('Normal Parameters'!$A$5:$A$104=D62)*('Normal Parameters'!$B$5:$B$104=E62)*('Normal Parameters'!$C$5:$C$104="Temperature"),0)),9999)),"Check","Normal"))</x:f>
      </x:c>
    </x:row>
    <x:row r="63" ht="15" hidden="0" customHeight="1">
      <x:c r="A63" s="74"/>
      <x:c r="B63" s="46"/>
      <x:c r="C63" s="46"/>
      <x:c r="D63" s="46" t="str">
        <x:f>IFERROR(XLOOKUP(C63,'Animals'!$A$5:$A$104,'Animals'!$C$5:$C$104,""),"")</x:f>
      </x:c>
      <x:c r="E63" s="46" t="str">
        <x:f>IFERROR(XLOOKUP(C63,'Animals'!$A$5:$A$104,'Animals'!$H$5:$H$104,""),"")</x:f>
      </x:c>
      <x:c r="F63" s="71"/>
      <x:c r="G63" s="71"/>
      <x:c r="H63" s="71"/>
      <x:c r="I63" s="71"/>
      <x:c r="J63" s="71"/>
      <x:c r="K63" s="46"/>
      <x:c r="L63" s="46"/>
      <x:c r="M63" s="46"/>
      <x:c r="N63" s="46"/>
      <x:c r="O63" s="46"/>
      <x:c r="P63" s="46"/>
      <x:c r="Q63" s="47" t="str">
        <x:f>IF(C63="","",IF(OR(J63&gt;IFERROR(INDEX('Normal Parameters'!$G$5:$G$104,MATCH(1,('Normal Parameters'!$A$5:$A$104=D63)*('Normal Parameters'!$B$5:$B$104=E63)*('Normal Parameters'!$C$5:$C$104="Behavior Score"),0)),99),F63&lt;IFERROR(INDEX('Normal Parameters'!$E$5:$E$104,MATCH(1,('Normal Parameters'!$A$5:$A$104=D63)*('Normal Parameters'!$B$5:$B$104=E63)*('Normal Parameters'!$C$5:$C$104="Weight"),0)),0),F63&gt;IFERROR(INDEX('Normal Parameters'!$G$5:$G$104,MATCH(1,('Normal Parameters'!$A$5:$A$104=D63)*('Normal Parameters'!$B$5:$B$104=E63)*('Normal Parameters'!$C$5:$C$104="Weight"),0)),9999),I63&lt;IFERROR(INDEX('Normal Parameters'!$E$5:$E$104,MATCH(1,('Normal Parameters'!$A$5:$A$104=D63)*('Normal Parameters'!$B$5:$B$104=E63)*('Normal Parameters'!$C$5:$C$104="Temperature"),0)),0),I63&gt;IFERROR(INDEX('Normal Parameters'!$G$5:$G$104,MATCH(1,('Normal Parameters'!$A$5:$A$104=D63)*('Normal Parameters'!$B$5:$B$104=E63)*('Normal Parameters'!$C$5:$C$104="Temperature"),0)),9999)),"Check","Normal"))</x:f>
      </x:c>
    </x:row>
    <x:row r="64" ht="15" hidden="0" customHeight="1">
      <x:c r="A64" s="74"/>
      <x:c r="B64" s="46"/>
      <x:c r="C64" s="46"/>
      <x:c r="D64" s="46" t="str">
        <x:f>IFERROR(XLOOKUP(C64,'Animals'!$A$5:$A$104,'Animals'!$C$5:$C$104,""),"")</x:f>
      </x:c>
      <x:c r="E64" s="46" t="str">
        <x:f>IFERROR(XLOOKUP(C64,'Animals'!$A$5:$A$104,'Animals'!$H$5:$H$104,""),"")</x:f>
      </x:c>
      <x:c r="F64" s="71"/>
      <x:c r="G64" s="71"/>
      <x:c r="H64" s="71"/>
      <x:c r="I64" s="71"/>
      <x:c r="J64" s="71"/>
      <x:c r="K64" s="46"/>
      <x:c r="L64" s="46"/>
      <x:c r="M64" s="46"/>
      <x:c r="N64" s="46"/>
      <x:c r="O64" s="46"/>
      <x:c r="P64" s="46"/>
      <x:c r="Q64" s="47" t="str">
        <x:f>IF(C64="","",IF(OR(J64&gt;IFERROR(INDEX('Normal Parameters'!$G$5:$G$104,MATCH(1,('Normal Parameters'!$A$5:$A$104=D64)*('Normal Parameters'!$B$5:$B$104=E64)*('Normal Parameters'!$C$5:$C$104="Behavior Score"),0)),99),F64&lt;IFERROR(INDEX('Normal Parameters'!$E$5:$E$104,MATCH(1,('Normal Parameters'!$A$5:$A$104=D64)*('Normal Parameters'!$B$5:$B$104=E64)*('Normal Parameters'!$C$5:$C$104="Weight"),0)),0),F64&gt;IFERROR(INDEX('Normal Parameters'!$G$5:$G$104,MATCH(1,('Normal Parameters'!$A$5:$A$104=D64)*('Normal Parameters'!$B$5:$B$104=E64)*('Normal Parameters'!$C$5:$C$104="Weight"),0)),9999),I64&lt;IFERROR(INDEX('Normal Parameters'!$E$5:$E$104,MATCH(1,('Normal Parameters'!$A$5:$A$104=D64)*('Normal Parameters'!$B$5:$B$104=E64)*('Normal Parameters'!$C$5:$C$104="Temperature"),0)),0),I64&gt;IFERROR(INDEX('Normal Parameters'!$G$5:$G$104,MATCH(1,('Normal Parameters'!$A$5:$A$104=D64)*('Normal Parameters'!$B$5:$B$104=E64)*('Normal Parameters'!$C$5:$C$104="Temperature"),0)),9999)),"Check","Normal"))</x:f>
      </x:c>
    </x:row>
    <x:row r="65" ht="15" hidden="0" customHeight="1">
      <x:c r="A65" s="74"/>
      <x:c r="B65" s="46"/>
      <x:c r="C65" s="46"/>
      <x:c r="D65" s="46" t="str">
        <x:f>IFERROR(XLOOKUP(C65,'Animals'!$A$5:$A$104,'Animals'!$C$5:$C$104,""),"")</x:f>
      </x:c>
      <x:c r="E65" s="46" t="str">
        <x:f>IFERROR(XLOOKUP(C65,'Animals'!$A$5:$A$104,'Animals'!$H$5:$H$104,""),"")</x:f>
      </x:c>
      <x:c r="F65" s="71"/>
      <x:c r="G65" s="71"/>
      <x:c r="H65" s="71"/>
      <x:c r="I65" s="71"/>
      <x:c r="J65" s="71"/>
      <x:c r="K65" s="46"/>
      <x:c r="L65" s="46"/>
      <x:c r="M65" s="46"/>
      <x:c r="N65" s="46"/>
      <x:c r="O65" s="46"/>
      <x:c r="P65" s="46"/>
      <x:c r="Q65" s="47" t="str">
        <x:f>IF(C65="","",IF(OR(J65&gt;IFERROR(INDEX('Normal Parameters'!$G$5:$G$104,MATCH(1,('Normal Parameters'!$A$5:$A$104=D65)*('Normal Parameters'!$B$5:$B$104=E65)*('Normal Parameters'!$C$5:$C$104="Behavior Score"),0)),99),F65&lt;IFERROR(INDEX('Normal Parameters'!$E$5:$E$104,MATCH(1,('Normal Parameters'!$A$5:$A$104=D65)*('Normal Parameters'!$B$5:$B$104=E65)*('Normal Parameters'!$C$5:$C$104="Weight"),0)),0),F65&gt;IFERROR(INDEX('Normal Parameters'!$G$5:$G$104,MATCH(1,('Normal Parameters'!$A$5:$A$104=D65)*('Normal Parameters'!$B$5:$B$104=E65)*('Normal Parameters'!$C$5:$C$104="Weight"),0)),9999),I65&lt;IFERROR(INDEX('Normal Parameters'!$E$5:$E$104,MATCH(1,('Normal Parameters'!$A$5:$A$104=D65)*('Normal Parameters'!$B$5:$B$104=E65)*('Normal Parameters'!$C$5:$C$104="Temperature"),0)),0),I65&gt;IFERROR(INDEX('Normal Parameters'!$G$5:$G$104,MATCH(1,('Normal Parameters'!$A$5:$A$104=D65)*('Normal Parameters'!$B$5:$B$104=E65)*('Normal Parameters'!$C$5:$C$104="Temperature"),0)),9999)),"Check","Normal"))</x:f>
      </x:c>
    </x:row>
    <x:row r="66" ht="15" hidden="0" customHeight="1">
      <x:c r="A66" s="74"/>
      <x:c r="B66" s="46"/>
      <x:c r="C66" s="46"/>
      <x:c r="D66" s="46" t="str">
        <x:f>IFERROR(XLOOKUP(C66,'Animals'!$A$5:$A$104,'Animals'!$C$5:$C$104,""),"")</x:f>
      </x:c>
      <x:c r="E66" s="46" t="str">
        <x:f>IFERROR(XLOOKUP(C66,'Animals'!$A$5:$A$104,'Animals'!$H$5:$H$104,""),"")</x:f>
      </x:c>
      <x:c r="F66" s="71"/>
      <x:c r="G66" s="71"/>
      <x:c r="H66" s="71"/>
      <x:c r="I66" s="71"/>
      <x:c r="J66" s="71"/>
      <x:c r="K66" s="46"/>
      <x:c r="L66" s="46"/>
      <x:c r="M66" s="46"/>
      <x:c r="N66" s="46"/>
      <x:c r="O66" s="46"/>
      <x:c r="P66" s="46"/>
      <x:c r="Q66" s="47" t="str">
        <x:f>IF(C66="","",IF(OR(J66&gt;IFERROR(INDEX('Normal Parameters'!$G$5:$G$104,MATCH(1,('Normal Parameters'!$A$5:$A$104=D66)*('Normal Parameters'!$B$5:$B$104=E66)*('Normal Parameters'!$C$5:$C$104="Behavior Score"),0)),99),F66&lt;IFERROR(INDEX('Normal Parameters'!$E$5:$E$104,MATCH(1,('Normal Parameters'!$A$5:$A$104=D66)*('Normal Parameters'!$B$5:$B$104=E66)*('Normal Parameters'!$C$5:$C$104="Weight"),0)),0),F66&gt;IFERROR(INDEX('Normal Parameters'!$G$5:$G$104,MATCH(1,('Normal Parameters'!$A$5:$A$104=D66)*('Normal Parameters'!$B$5:$B$104=E66)*('Normal Parameters'!$C$5:$C$104="Weight"),0)),9999),I66&lt;IFERROR(INDEX('Normal Parameters'!$E$5:$E$104,MATCH(1,('Normal Parameters'!$A$5:$A$104=D66)*('Normal Parameters'!$B$5:$B$104=E66)*('Normal Parameters'!$C$5:$C$104="Temperature"),0)),0),I66&gt;IFERROR(INDEX('Normal Parameters'!$G$5:$G$104,MATCH(1,('Normal Parameters'!$A$5:$A$104=D66)*('Normal Parameters'!$B$5:$B$104=E66)*('Normal Parameters'!$C$5:$C$104="Temperature"),0)),9999)),"Check","Normal"))</x:f>
      </x:c>
    </x:row>
    <x:row r="67" ht="15" hidden="0" customHeight="1">
      <x:c r="A67" s="74"/>
      <x:c r="B67" s="46"/>
      <x:c r="C67" s="46"/>
      <x:c r="D67" s="46" t="str">
        <x:f>IFERROR(XLOOKUP(C67,'Animals'!$A$5:$A$104,'Animals'!$C$5:$C$104,""),"")</x:f>
      </x:c>
      <x:c r="E67" s="46" t="str">
        <x:f>IFERROR(XLOOKUP(C67,'Animals'!$A$5:$A$104,'Animals'!$H$5:$H$104,""),"")</x:f>
      </x:c>
      <x:c r="F67" s="71"/>
      <x:c r="G67" s="71"/>
      <x:c r="H67" s="71"/>
      <x:c r="I67" s="71"/>
      <x:c r="J67" s="71"/>
      <x:c r="K67" s="46"/>
      <x:c r="L67" s="46"/>
      <x:c r="M67" s="46"/>
      <x:c r="N67" s="46"/>
      <x:c r="O67" s="46"/>
      <x:c r="P67" s="46"/>
      <x:c r="Q67" s="47" t="str">
        <x:f>IF(C67="","",IF(OR(J67&gt;IFERROR(INDEX('Normal Parameters'!$G$5:$G$104,MATCH(1,('Normal Parameters'!$A$5:$A$104=D67)*('Normal Parameters'!$B$5:$B$104=E67)*('Normal Parameters'!$C$5:$C$104="Behavior Score"),0)),99),F67&lt;IFERROR(INDEX('Normal Parameters'!$E$5:$E$104,MATCH(1,('Normal Parameters'!$A$5:$A$104=D67)*('Normal Parameters'!$B$5:$B$104=E67)*('Normal Parameters'!$C$5:$C$104="Weight"),0)),0),F67&gt;IFERROR(INDEX('Normal Parameters'!$G$5:$G$104,MATCH(1,('Normal Parameters'!$A$5:$A$104=D67)*('Normal Parameters'!$B$5:$B$104=E67)*('Normal Parameters'!$C$5:$C$104="Weight"),0)),9999),I67&lt;IFERROR(INDEX('Normal Parameters'!$E$5:$E$104,MATCH(1,('Normal Parameters'!$A$5:$A$104=D67)*('Normal Parameters'!$B$5:$B$104=E67)*('Normal Parameters'!$C$5:$C$104="Temperature"),0)),0),I67&gt;IFERROR(INDEX('Normal Parameters'!$G$5:$G$104,MATCH(1,('Normal Parameters'!$A$5:$A$104=D67)*('Normal Parameters'!$B$5:$B$104=E67)*('Normal Parameters'!$C$5:$C$104="Temperature"),0)),9999)),"Check","Normal"))</x:f>
      </x:c>
    </x:row>
    <x:row r="68" ht="15" hidden="0" customHeight="1">
      <x:c r="A68" s="74"/>
      <x:c r="B68" s="46"/>
      <x:c r="C68" s="46"/>
      <x:c r="D68" s="46" t="str">
        <x:f>IFERROR(XLOOKUP(C68,'Animals'!$A$5:$A$104,'Animals'!$C$5:$C$104,""),"")</x:f>
      </x:c>
      <x:c r="E68" s="46" t="str">
        <x:f>IFERROR(XLOOKUP(C68,'Animals'!$A$5:$A$104,'Animals'!$H$5:$H$104,""),"")</x:f>
      </x:c>
      <x:c r="F68" s="71"/>
      <x:c r="G68" s="71"/>
      <x:c r="H68" s="71"/>
      <x:c r="I68" s="71"/>
      <x:c r="J68" s="71"/>
      <x:c r="K68" s="46"/>
      <x:c r="L68" s="46"/>
      <x:c r="M68" s="46"/>
      <x:c r="N68" s="46"/>
      <x:c r="O68" s="46"/>
      <x:c r="P68" s="46"/>
      <x:c r="Q68" s="47" t="str">
        <x:f>IF(C68="","",IF(OR(J68&gt;IFERROR(INDEX('Normal Parameters'!$G$5:$G$104,MATCH(1,('Normal Parameters'!$A$5:$A$104=D68)*('Normal Parameters'!$B$5:$B$104=E68)*('Normal Parameters'!$C$5:$C$104="Behavior Score"),0)),99),F68&lt;IFERROR(INDEX('Normal Parameters'!$E$5:$E$104,MATCH(1,('Normal Parameters'!$A$5:$A$104=D68)*('Normal Parameters'!$B$5:$B$104=E68)*('Normal Parameters'!$C$5:$C$104="Weight"),0)),0),F68&gt;IFERROR(INDEX('Normal Parameters'!$G$5:$G$104,MATCH(1,('Normal Parameters'!$A$5:$A$104=D68)*('Normal Parameters'!$B$5:$B$104=E68)*('Normal Parameters'!$C$5:$C$104="Weight"),0)),9999),I68&lt;IFERROR(INDEX('Normal Parameters'!$E$5:$E$104,MATCH(1,('Normal Parameters'!$A$5:$A$104=D68)*('Normal Parameters'!$B$5:$B$104=E68)*('Normal Parameters'!$C$5:$C$104="Temperature"),0)),0),I68&gt;IFERROR(INDEX('Normal Parameters'!$G$5:$G$104,MATCH(1,('Normal Parameters'!$A$5:$A$104=D68)*('Normal Parameters'!$B$5:$B$104=E68)*('Normal Parameters'!$C$5:$C$104="Temperature"),0)),9999)),"Check","Normal"))</x:f>
      </x:c>
    </x:row>
    <x:row r="69" ht="15" hidden="0" customHeight="1">
      <x:c r="A69" s="74"/>
      <x:c r="B69" s="46"/>
      <x:c r="C69" s="46"/>
      <x:c r="D69" s="46" t="str">
        <x:f>IFERROR(XLOOKUP(C69,'Animals'!$A$5:$A$104,'Animals'!$C$5:$C$104,""),"")</x:f>
      </x:c>
      <x:c r="E69" s="46" t="str">
        <x:f>IFERROR(XLOOKUP(C69,'Animals'!$A$5:$A$104,'Animals'!$H$5:$H$104,""),"")</x:f>
      </x:c>
      <x:c r="F69" s="71"/>
      <x:c r="G69" s="71"/>
      <x:c r="H69" s="71"/>
      <x:c r="I69" s="71"/>
      <x:c r="J69" s="71"/>
      <x:c r="K69" s="46"/>
      <x:c r="L69" s="46"/>
      <x:c r="M69" s="46"/>
      <x:c r="N69" s="46"/>
      <x:c r="O69" s="46"/>
      <x:c r="P69" s="46"/>
      <x:c r="Q69" s="47" t="str">
        <x:f>IF(C69="","",IF(OR(J69&gt;IFERROR(INDEX('Normal Parameters'!$G$5:$G$104,MATCH(1,('Normal Parameters'!$A$5:$A$104=D69)*('Normal Parameters'!$B$5:$B$104=E69)*('Normal Parameters'!$C$5:$C$104="Behavior Score"),0)),99),F69&lt;IFERROR(INDEX('Normal Parameters'!$E$5:$E$104,MATCH(1,('Normal Parameters'!$A$5:$A$104=D69)*('Normal Parameters'!$B$5:$B$104=E69)*('Normal Parameters'!$C$5:$C$104="Weight"),0)),0),F69&gt;IFERROR(INDEX('Normal Parameters'!$G$5:$G$104,MATCH(1,('Normal Parameters'!$A$5:$A$104=D69)*('Normal Parameters'!$B$5:$B$104=E69)*('Normal Parameters'!$C$5:$C$104="Weight"),0)),9999),I69&lt;IFERROR(INDEX('Normal Parameters'!$E$5:$E$104,MATCH(1,('Normal Parameters'!$A$5:$A$104=D69)*('Normal Parameters'!$B$5:$B$104=E69)*('Normal Parameters'!$C$5:$C$104="Temperature"),0)),0),I69&gt;IFERROR(INDEX('Normal Parameters'!$G$5:$G$104,MATCH(1,('Normal Parameters'!$A$5:$A$104=D69)*('Normal Parameters'!$B$5:$B$104=E69)*('Normal Parameters'!$C$5:$C$104="Temperature"),0)),9999)),"Check","Normal"))</x:f>
      </x:c>
    </x:row>
    <x:row r="70" ht="15" hidden="0" customHeight="1">
      <x:c r="A70" s="74"/>
      <x:c r="B70" s="46"/>
      <x:c r="C70" s="46"/>
      <x:c r="D70" s="46" t="str">
        <x:f>IFERROR(XLOOKUP(C70,'Animals'!$A$5:$A$104,'Animals'!$C$5:$C$104,""),"")</x:f>
      </x:c>
      <x:c r="E70" s="46" t="str">
        <x:f>IFERROR(XLOOKUP(C70,'Animals'!$A$5:$A$104,'Animals'!$H$5:$H$104,""),"")</x:f>
      </x:c>
      <x:c r="F70" s="71"/>
      <x:c r="G70" s="71"/>
      <x:c r="H70" s="71"/>
      <x:c r="I70" s="71"/>
      <x:c r="J70" s="71"/>
      <x:c r="K70" s="46"/>
      <x:c r="L70" s="46"/>
      <x:c r="M70" s="46"/>
      <x:c r="N70" s="46"/>
      <x:c r="O70" s="46"/>
      <x:c r="P70" s="46"/>
      <x:c r="Q70" s="47" t="str">
        <x:f>IF(C70="","",IF(OR(J70&gt;IFERROR(INDEX('Normal Parameters'!$G$5:$G$104,MATCH(1,('Normal Parameters'!$A$5:$A$104=D70)*('Normal Parameters'!$B$5:$B$104=E70)*('Normal Parameters'!$C$5:$C$104="Behavior Score"),0)),99),F70&lt;IFERROR(INDEX('Normal Parameters'!$E$5:$E$104,MATCH(1,('Normal Parameters'!$A$5:$A$104=D70)*('Normal Parameters'!$B$5:$B$104=E70)*('Normal Parameters'!$C$5:$C$104="Weight"),0)),0),F70&gt;IFERROR(INDEX('Normal Parameters'!$G$5:$G$104,MATCH(1,('Normal Parameters'!$A$5:$A$104=D70)*('Normal Parameters'!$B$5:$B$104=E70)*('Normal Parameters'!$C$5:$C$104="Weight"),0)),9999),I70&lt;IFERROR(INDEX('Normal Parameters'!$E$5:$E$104,MATCH(1,('Normal Parameters'!$A$5:$A$104=D70)*('Normal Parameters'!$B$5:$B$104=E70)*('Normal Parameters'!$C$5:$C$104="Temperature"),0)),0),I70&gt;IFERROR(INDEX('Normal Parameters'!$G$5:$G$104,MATCH(1,('Normal Parameters'!$A$5:$A$104=D70)*('Normal Parameters'!$B$5:$B$104=E70)*('Normal Parameters'!$C$5:$C$104="Temperature"),0)),9999)),"Check","Normal"))</x:f>
      </x:c>
    </x:row>
    <x:row r="71" ht="15" hidden="0" customHeight="1">
      <x:c r="A71" s="74"/>
      <x:c r="B71" s="46"/>
      <x:c r="C71" s="46"/>
      <x:c r="D71" s="46" t="str">
        <x:f>IFERROR(XLOOKUP(C71,'Animals'!$A$5:$A$104,'Animals'!$C$5:$C$104,""),"")</x:f>
      </x:c>
      <x:c r="E71" s="46" t="str">
        <x:f>IFERROR(XLOOKUP(C71,'Animals'!$A$5:$A$104,'Animals'!$H$5:$H$104,""),"")</x:f>
      </x:c>
      <x:c r="F71" s="71"/>
      <x:c r="G71" s="71"/>
      <x:c r="H71" s="71"/>
      <x:c r="I71" s="71"/>
      <x:c r="J71" s="71"/>
      <x:c r="K71" s="46"/>
      <x:c r="L71" s="46"/>
      <x:c r="M71" s="46"/>
      <x:c r="N71" s="46"/>
      <x:c r="O71" s="46"/>
      <x:c r="P71" s="46"/>
      <x:c r="Q71" s="47" t="str">
        <x:f>IF(C71="","",IF(OR(J71&gt;IFERROR(INDEX('Normal Parameters'!$G$5:$G$104,MATCH(1,('Normal Parameters'!$A$5:$A$104=D71)*('Normal Parameters'!$B$5:$B$104=E71)*('Normal Parameters'!$C$5:$C$104="Behavior Score"),0)),99),F71&lt;IFERROR(INDEX('Normal Parameters'!$E$5:$E$104,MATCH(1,('Normal Parameters'!$A$5:$A$104=D71)*('Normal Parameters'!$B$5:$B$104=E71)*('Normal Parameters'!$C$5:$C$104="Weight"),0)),0),F71&gt;IFERROR(INDEX('Normal Parameters'!$G$5:$G$104,MATCH(1,('Normal Parameters'!$A$5:$A$104=D71)*('Normal Parameters'!$B$5:$B$104=E71)*('Normal Parameters'!$C$5:$C$104="Weight"),0)),9999),I71&lt;IFERROR(INDEX('Normal Parameters'!$E$5:$E$104,MATCH(1,('Normal Parameters'!$A$5:$A$104=D71)*('Normal Parameters'!$B$5:$B$104=E71)*('Normal Parameters'!$C$5:$C$104="Temperature"),0)),0),I71&gt;IFERROR(INDEX('Normal Parameters'!$G$5:$G$104,MATCH(1,('Normal Parameters'!$A$5:$A$104=D71)*('Normal Parameters'!$B$5:$B$104=E71)*('Normal Parameters'!$C$5:$C$104="Temperature"),0)),9999)),"Check","Normal"))</x:f>
      </x:c>
    </x:row>
    <x:row r="72" ht="15" hidden="0" customHeight="1">
      <x:c r="A72" s="74"/>
      <x:c r="B72" s="46"/>
      <x:c r="C72" s="46"/>
      <x:c r="D72" s="46" t="str">
        <x:f>IFERROR(XLOOKUP(C72,'Animals'!$A$5:$A$104,'Animals'!$C$5:$C$104,""),"")</x:f>
      </x:c>
      <x:c r="E72" s="46" t="str">
        <x:f>IFERROR(XLOOKUP(C72,'Animals'!$A$5:$A$104,'Animals'!$H$5:$H$104,""),"")</x:f>
      </x:c>
      <x:c r="F72" s="71"/>
      <x:c r="G72" s="71"/>
      <x:c r="H72" s="71"/>
      <x:c r="I72" s="71"/>
      <x:c r="J72" s="71"/>
      <x:c r="K72" s="46"/>
      <x:c r="L72" s="46"/>
      <x:c r="M72" s="46"/>
      <x:c r="N72" s="46"/>
      <x:c r="O72" s="46"/>
      <x:c r="P72" s="46"/>
      <x:c r="Q72" s="47" t="str">
        <x:f>IF(C72="","",IF(OR(J72&gt;IFERROR(INDEX('Normal Parameters'!$G$5:$G$104,MATCH(1,('Normal Parameters'!$A$5:$A$104=D72)*('Normal Parameters'!$B$5:$B$104=E72)*('Normal Parameters'!$C$5:$C$104="Behavior Score"),0)),99),F72&lt;IFERROR(INDEX('Normal Parameters'!$E$5:$E$104,MATCH(1,('Normal Parameters'!$A$5:$A$104=D72)*('Normal Parameters'!$B$5:$B$104=E72)*('Normal Parameters'!$C$5:$C$104="Weight"),0)),0),F72&gt;IFERROR(INDEX('Normal Parameters'!$G$5:$G$104,MATCH(1,('Normal Parameters'!$A$5:$A$104=D72)*('Normal Parameters'!$B$5:$B$104=E72)*('Normal Parameters'!$C$5:$C$104="Weight"),0)),9999),I72&lt;IFERROR(INDEX('Normal Parameters'!$E$5:$E$104,MATCH(1,('Normal Parameters'!$A$5:$A$104=D72)*('Normal Parameters'!$B$5:$B$104=E72)*('Normal Parameters'!$C$5:$C$104="Temperature"),0)),0),I72&gt;IFERROR(INDEX('Normal Parameters'!$G$5:$G$104,MATCH(1,('Normal Parameters'!$A$5:$A$104=D72)*('Normal Parameters'!$B$5:$B$104=E72)*('Normal Parameters'!$C$5:$C$104="Temperature"),0)),9999)),"Check","Normal"))</x:f>
      </x:c>
    </x:row>
    <x:row r="73" ht="15" hidden="0" customHeight="1">
      <x:c r="A73" s="74"/>
      <x:c r="B73" s="46"/>
      <x:c r="C73" s="46"/>
      <x:c r="D73" s="46" t="str">
        <x:f>IFERROR(XLOOKUP(C73,'Animals'!$A$5:$A$104,'Animals'!$C$5:$C$104,""),"")</x:f>
      </x:c>
      <x:c r="E73" s="46" t="str">
        <x:f>IFERROR(XLOOKUP(C73,'Animals'!$A$5:$A$104,'Animals'!$H$5:$H$104,""),"")</x:f>
      </x:c>
      <x:c r="F73" s="71"/>
      <x:c r="G73" s="71"/>
      <x:c r="H73" s="71"/>
      <x:c r="I73" s="71"/>
      <x:c r="J73" s="71"/>
      <x:c r="K73" s="46"/>
      <x:c r="L73" s="46"/>
      <x:c r="M73" s="46"/>
      <x:c r="N73" s="46"/>
      <x:c r="O73" s="46"/>
      <x:c r="P73" s="46"/>
      <x:c r="Q73" s="47" t="str">
        <x:f>IF(C73="","",IF(OR(J73&gt;IFERROR(INDEX('Normal Parameters'!$G$5:$G$104,MATCH(1,('Normal Parameters'!$A$5:$A$104=D73)*('Normal Parameters'!$B$5:$B$104=E73)*('Normal Parameters'!$C$5:$C$104="Behavior Score"),0)),99),F73&lt;IFERROR(INDEX('Normal Parameters'!$E$5:$E$104,MATCH(1,('Normal Parameters'!$A$5:$A$104=D73)*('Normal Parameters'!$B$5:$B$104=E73)*('Normal Parameters'!$C$5:$C$104="Weight"),0)),0),F73&gt;IFERROR(INDEX('Normal Parameters'!$G$5:$G$104,MATCH(1,('Normal Parameters'!$A$5:$A$104=D73)*('Normal Parameters'!$B$5:$B$104=E73)*('Normal Parameters'!$C$5:$C$104="Weight"),0)),9999),I73&lt;IFERROR(INDEX('Normal Parameters'!$E$5:$E$104,MATCH(1,('Normal Parameters'!$A$5:$A$104=D73)*('Normal Parameters'!$B$5:$B$104=E73)*('Normal Parameters'!$C$5:$C$104="Temperature"),0)),0),I73&gt;IFERROR(INDEX('Normal Parameters'!$G$5:$G$104,MATCH(1,('Normal Parameters'!$A$5:$A$104=D73)*('Normal Parameters'!$B$5:$B$104=E73)*('Normal Parameters'!$C$5:$C$104="Temperature"),0)),9999)),"Check","Normal"))</x:f>
      </x:c>
    </x:row>
    <x:row r="74" ht="15" hidden="0" customHeight="1">
      <x:c r="A74" s="74"/>
      <x:c r="B74" s="46"/>
      <x:c r="C74" s="46"/>
      <x:c r="D74" s="46" t="str">
        <x:f>IFERROR(XLOOKUP(C74,'Animals'!$A$5:$A$104,'Animals'!$C$5:$C$104,""),"")</x:f>
      </x:c>
      <x:c r="E74" s="46" t="str">
        <x:f>IFERROR(XLOOKUP(C74,'Animals'!$A$5:$A$104,'Animals'!$H$5:$H$104,""),"")</x:f>
      </x:c>
      <x:c r="F74" s="71"/>
      <x:c r="G74" s="71"/>
      <x:c r="H74" s="71"/>
      <x:c r="I74" s="71"/>
      <x:c r="J74" s="71"/>
      <x:c r="K74" s="46"/>
      <x:c r="L74" s="46"/>
      <x:c r="M74" s="46"/>
      <x:c r="N74" s="46"/>
      <x:c r="O74" s="46"/>
      <x:c r="P74" s="46"/>
      <x:c r="Q74" s="47" t="str">
        <x:f>IF(C74="","",IF(OR(J74&gt;IFERROR(INDEX('Normal Parameters'!$G$5:$G$104,MATCH(1,('Normal Parameters'!$A$5:$A$104=D74)*('Normal Parameters'!$B$5:$B$104=E74)*('Normal Parameters'!$C$5:$C$104="Behavior Score"),0)),99),F74&lt;IFERROR(INDEX('Normal Parameters'!$E$5:$E$104,MATCH(1,('Normal Parameters'!$A$5:$A$104=D74)*('Normal Parameters'!$B$5:$B$104=E74)*('Normal Parameters'!$C$5:$C$104="Weight"),0)),0),F74&gt;IFERROR(INDEX('Normal Parameters'!$G$5:$G$104,MATCH(1,('Normal Parameters'!$A$5:$A$104=D74)*('Normal Parameters'!$B$5:$B$104=E74)*('Normal Parameters'!$C$5:$C$104="Weight"),0)),9999),I74&lt;IFERROR(INDEX('Normal Parameters'!$E$5:$E$104,MATCH(1,('Normal Parameters'!$A$5:$A$104=D74)*('Normal Parameters'!$B$5:$B$104=E74)*('Normal Parameters'!$C$5:$C$104="Temperature"),0)),0),I74&gt;IFERROR(INDEX('Normal Parameters'!$G$5:$G$104,MATCH(1,('Normal Parameters'!$A$5:$A$104=D74)*('Normal Parameters'!$B$5:$B$104=E74)*('Normal Parameters'!$C$5:$C$104="Temperature"),0)),9999)),"Check","Normal"))</x:f>
      </x:c>
    </x:row>
    <x:row r="75" ht="15" hidden="0" customHeight="1">
      <x:c r="A75" s="74"/>
      <x:c r="B75" s="46"/>
      <x:c r="C75" s="46"/>
      <x:c r="D75" s="46" t="str">
        <x:f>IFERROR(XLOOKUP(C75,'Animals'!$A$5:$A$104,'Animals'!$C$5:$C$104,""),"")</x:f>
      </x:c>
      <x:c r="E75" s="46" t="str">
        <x:f>IFERROR(XLOOKUP(C75,'Animals'!$A$5:$A$104,'Animals'!$H$5:$H$104,""),"")</x:f>
      </x:c>
      <x:c r="F75" s="71"/>
      <x:c r="G75" s="71"/>
      <x:c r="H75" s="71"/>
      <x:c r="I75" s="71"/>
      <x:c r="J75" s="71"/>
      <x:c r="K75" s="46"/>
      <x:c r="L75" s="46"/>
      <x:c r="M75" s="46"/>
      <x:c r="N75" s="46"/>
      <x:c r="O75" s="46"/>
      <x:c r="P75" s="46"/>
      <x:c r="Q75" s="47" t="str">
        <x:f>IF(C75="","",IF(OR(J75&gt;IFERROR(INDEX('Normal Parameters'!$G$5:$G$104,MATCH(1,('Normal Parameters'!$A$5:$A$104=D75)*('Normal Parameters'!$B$5:$B$104=E75)*('Normal Parameters'!$C$5:$C$104="Behavior Score"),0)),99),F75&lt;IFERROR(INDEX('Normal Parameters'!$E$5:$E$104,MATCH(1,('Normal Parameters'!$A$5:$A$104=D75)*('Normal Parameters'!$B$5:$B$104=E75)*('Normal Parameters'!$C$5:$C$104="Weight"),0)),0),F75&gt;IFERROR(INDEX('Normal Parameters'!$G$5:$G$104,MATCH(1,('Normal Parameters'!$A$5:$A$104=D75)*('Normal Parameters'!$B$5:$B$104=E75)*('Normal Parameters'!$C$5:$C$104="Weight"),0)),9999),I75&lt;IFERROR(INDEX('Normal Parameters'!$E$5:$E$104,MATCH(1,('Normal Parameters'!$A$5:$A$104=D75)*('Normal Parameters'!$B$5:$B$104=E75)*('Normal Parameters'!$C$5:$C$104="Temperature"),0)),0),I75&gt;IFERROR(INDEX('Normal Parameters'!$G$5:$G$104,MATCH(1,('Normal Parameters'!$A$5:$A$104=D75)*('Normal Parameters'!$B$5:$B$104=E75)*('Normal Parameters'!$C$5:$C$104="Temperature"),0)),9999)),"Check","Normal"))</x:f>
      </x:c>
    </x:row>
    <x:row r="76" ht="15" hidden="0" customHeight="1">
      <x:c r="A76" s="74"/>
      <x:c r="B76" s="46"/>
      <x:c r="C76" s="46"/>
      <x:c r="D76" s="46" t="str">
        <x:f>IFERROR(XLOOKUP(C76,'Animals'!$A$5:$A$104,'Animals'!$C$5:$C$104,""),"")</x:f>
      </x:c>
      <x:c r="E76" s="46" t="str">
        <x:f>IFERROR(XLOOKUP(C76,'Animals'!$A$5:$A$104,'Animals'!$H$5:$H$104,""),"")</x:f>
      </x:c>
      <x:c r="F76" s="71"/>
      <x:c r="G76" s="71"/>
      <x:c r="H76" s="71"/>
      <x:c r="I76" s="71"/>
      <x:c r="J76" s="71"/>
      <x:c r="K76" s="46"/>
      <x:c r="L76" s="46"/>
      <x:c r="M76" s="46"/>
      <x:c r="N76" s="46"/>
      <x:c r="O76" s="46"/>
      <x:c r="P76" s="46"/>
      <x:c r="Q76" s="47" t="str">
        <x:f>IF(C76="","",IF(OR(J76&gt;IFERROR(INDEX('Normal Parameters'!$G$5:$G$104,MATCH(1,('Normal Parameters'!$A$5:$A$104=D76)*('Normal Parameters'!$B$5:$B$104=E76)*('Normal Parameters'!$C$5:$C$104="Behavior Score"),0)),99),F76&lt;IFERROR(INDEX('Normal Parameters'!$E$5:$E$104,MATCH(1,('Normal Parameters'!$A$5:$A$104=D76)*('Normal Parameters'!$B$5:$B$104=E76)*('Normal Parameters'!$C$5:$C$104="Weight"),0)),0),F76&gt;IFERROR(INDEX('Normal Parameters'!$G$5:$G$104,MATCH(1,('Normal Parameters'!$A$5:$A$104=D76)*('Normal Parameters'!$B$5:$B$104=E76)*('Normal Parameters'!$C$5:$C$104="Weight"),0)),9999),I76&lt;IFERROR(INDEX('Normal Parameters'!$E$5:$E$104,MATCH(1,('Normal Parameters'!$A$5:$A$104=D76)*('Normal Parameters'!$B$5:$B$104=E76)*('Normal Parameters'!$C$5:$C$104="Temperature"),0)),0),I76&gt;IFERROR(INDEX('Normal Parameters'!$G$5:$G$104,MATCH(1,('Normal Parameters'!$A$5:$A$104=D76)*('Normal Parameters'!$B$5:$B$104=E76)*('Normal Parameters'!$C$5:$C$104="Temperature"),0)),9999)),"Check","Normal"))</x:f>
      </x:c>
    </x:row>
    <x:row r="77" ht="15" hidden="0" customHeight="1">
      <x:c r="A77" s="74"/>
      <x:c r="B77" s="46"/>
      <x:c r="C77" s="46"/>
      <x:c r="D77" s="46" t="str">
        <x:f>IFERROR(XLOOKUP(C77,'Animals'!$A$5:$A$104,'Animals'!$C$5:$C$104,""),"")</x:f>
      </x:c>
      <x:c r="E77" s="46" t="str">
        <x:f>IFERROR(XLOOKUP(C77,'Animals'!$A$5:$A$104,'Animals'!$H$5:$H$104,""),"")</x:f>
      </x:c>
      <x:c r="F77" s="71"/>
      <x:c r="G77" s="71"/>
      <x:c r="H77" s="71"/>
      <x:c r="I77" s="71"/>
      <x:c r="J77" s="71"/>
      <x:c r="K77" s="46"/>
      <x:c r="L77" s="46"/>
      <x:c r="M77" s="46"/>
      <x:c r="N77" s="46"/>
      <x:c r="O77" s="46"/>
      <x:c r="P77" s="46"/>
      <x:c r="Q77" s="47" t="str">
        <x:f>IF(C77="","",IF(OR(J77&gt;IFERROR(INDEX('Normal Parameters'!$G$5:$G$104,MATCH(1,('Normal Parameters'!$A$5:$A$104=D77)*('Normal Parameters'!$B$5:$B$104=E77)*('Normal Parameters'!$C$5:$C$104="Behavior Score"),0)),99),F77&lt;IFERROR(INDEX('Normal Parameters'!$E$5:$E$104,MATCH(1,('Normal Parameters'!$A$5:$A$104=D77)*('Normal Parameters'!$B$5:$B$104=E77)*('Normal Parameters'!$C$5:$C$104="Weight"),0)),0),F77&gt;IFERROR(INDEX('Normal Parameters'!$G$5:$G$104,MATCH(1,('Normal Parameters'!$A$5:$A$104=D77)*('Normal Parameters'!$B$5:$B$104=E77)*('Normal Parameters'!$C$5:$C$104="Weight"),0)),9999),I77&lt;IFERROR(INDEX('Normal Parameters'!$E$5:$E$104,MATCH(1,('Normal Parameters'!$A$5:$A$104=D77)*('Normal Parameters'!$B$5:$B$104=E77)*('Normal Parameters'!$C$5:$C$104="Temperature"),0)),0),I77&gt;IFERROR(INDEX('Normal Parameters'!$G$5:$G$104,MATCH(1,('Normal Parameters'!$A$5:$A$104=D77)*('Normal Parameters'!$B$5:$B$104=E77)*('Normal Parameters'!$C$5:$C$104="Temperature"),0)),9999)),"Check","Normal"))</x:f>
      </x:c>
    </x:row>
    <x:row r="78" ht="15" hidden="0" customHeight="1">
      <x:c r="A78" s="74"/>
      <x:c r="B78" s="46"/>
      <x:c r="C78" s="46"/>
      <x:c r="D78" s="46" t="str">
        <x:f>IFERROR(XLOOKUP(C78,'Animals'!$A$5:$A$104,'Animals'!$C$5:$C$104,""),"")</x:f>
      </x:c>
      <x:c r="E78" s="46" t="str">
        <x:f>IFERROR(XLOOKUP(C78,'Animals'!$A$5:$A$104,'Animals'!$H$5:$H$104,""),"")</x:f>
      </x:c>
      <x:c r="F78" s="71"/>
      <x:c r="G78" s="71"/>
      <x:c r="H78" s="71"/>
      <x:c r="I78" s="71"/>
      <x:c r="J78" s="71"/>
      <x:c r="K78" s="46"/>
      <x:c r="L78" s="46"/>
      <x:c r="M78" s="46"/>
      <x:c r="N78" s="46"/>
      <x:c r="O78" s="46"/>
      <x:c r="P78" s="46"/>
      <x:c r="Q78" s="47" t="str">
        <x:f>IF(C78="","",IF(OR(J78&gt;IFERROR(INDEX('Normal Parameters'!$G$5:$G$104,MATCH(1,('Normal Parameters'!$A$5:$A$104=D78)*('Normal Parameters'!$B$5:$B$104=E78)*('Normal Parameters'!$C$5:$C$104="Behavior Score"),0)),99),F78&lt;IFERROR(INDEX('Normal Parameters'!$E$5:$E$104,MATCH(1,('Normal Parameters'!$A$5:$A$104=D78)*('Normal Parameters'!$B$5:$B$104=E78)*('Normal Parameters'!$C$5:$C$104="Weight"),0)),0),F78&gt;IFERROR(INDEX('Normal Parameters'!$G$5:$G$104,MATCH(1,('Normal Parameters'!$A$5:$A$104=D78)*('Normal Parameters'!$B$5:$B$104=E78)*('Normal Parameters'!$C$5:$C$104="Weight"),0)),9999),I78&lt;IFERROR(INDEX('Normal Parameters'!$E$5:$E$104,MATCH(1,('Normal Parameters'!$A$5:$A$104=D78)*('Normal Parameters'!$B$5:$B$104=E78)*('Normal Parameters'!$C$5:$C$104="Temperature"),0)),0),I78&gt;IFERROR(INDEX('Normal Parameters'!$G$5:$G$104,MATCH(1,('Normal Parameters'!$A$5:$A$104=D78)*('Normal Parameters'!$B$5:$B$104=E78)*('Normal Parameters'!$C$5:$C$104="Temperature"),0)),9999)),"Check","Normal"))</x:f>
      </x:c>
    </x:row>
    <x:row r="79" ht="15" hidden="0" customHeight="1">
      <x:c r="A79" s="74"/>
      <x:c r="B79" s="46"/>
      <x:c r="C79" s="46"/>
      <x:c r="D79" s="46" t="str">
        <x:f>IFERROR(XLOOKUP(C79,'Animals'!$A$5:$A$104,'Animals'!$C$5:$C$104,""),"")</x:f>
      </x:c>
      <x:c r="E79" s="46" t="str">
        <x:f>IFERROR(XLOOKUP(C79,'Animals'!$A$5:$A$104,'Animals'!$H$5:$H$104,""),"")</x:f>
      </x:c>
      <x:c r="F79" s="71"/>
      <x:c r="G79" s="71"/>
      <x:c r="H79" s="71"/>
      <x:c r="I79" s="71"/>
      <x:c r="J79" s="71"/>
      <x:c r="K79" s="46"/>
      <x:c r="L79" s="46"/>
      <x:c r="M79" s="46"/>
      <x:c r="N79" s="46"/>
      <x:c r="O79" s="46"/>
      <x:c r="P79" s="46"/>
      <x:c r="Q79" s="47" t="str">
        <x:f>IF(C79="","",IF(OR(J79&gt;IFERROR(INDEX('Normal Parameters'!$G$5:$G$104,MATCH(1,('Normal Parameters'!$A$5:$A$104=D79)*('Normal Parameters'!$B$5:$B$104=E79)*('Normal Parameters'!$C$5:$C$104="Behavior Score"),0)),99),F79&lt;IFERROR(INDEX('Normal Parameters'!$E$5:$E$104,MATCH(1,('Normal Parameters'!$A$5:$A$104=D79)*('Normal Parameters'!$B$5:$B$104=E79)*('Normal Parameters'!$C$5:$C$104="Weight"),0)),0),F79&gt;IFERROR(INDEX('Normal Parameters'!$G$5:$G$104,MATCH(1,('Normal Parameters'!$A$5:$A$104=D79)*('Normal Parameters'!$B$5:$B$104=E79)*('Normal Parameters'!$C$5:$C$104="Weight"),0)),9999),I79&lt;IFERROR(INDEX('Normal Parameters'!$E$5:$E$104,MATCH(1,('Normal Parameters'!$A$5:$A$104=D79)*('Normal Parameters'!$B$5:$B$104=E79)*('Normal Parameters'!$C$5:$C$104="Temperature"),0)),0),I79&gt;IFERROR(INDEX('Normal Parameters'!$G$5:$G$104,MATCH(1,('Normal Parameters'!$A$5:$A$104=D79)*('Normal Parameters'!$B$5:$B$104=E79)*('Normal Parameters'!$C$5:$C$104="Temperature"),0)),9999)),"Check","Normal"))</x:f>
      </x:c>
    </x:row>
    <x:row r="80" ht="15" hidden="0" customHeight="1">
      <x:c r="A80" s="74"/>
      <x:c r="B80" s="46"/>
      <x:c r="C80" s="46"/>
      <x:c r="D80" s="46" t="str">
        <x:f>IFERROR(XLOOKUP(C80,'Animals'!$A$5:$A$104,'Animals'!$C$5:$C$104,""),"")</x:f>
      </x:c>
      <x:c r="E80" s="46" t="str">
        <x:f>IFERROR(XLOOKUP(C80,'Animals'!$A$5:$A$104,'Animals'!$H$5:$H$104,""),"")</x:f>
      </x:c>
      <x:c r="F80" s="71"/>
      <x:c r="G80" s="71"/>
      <x:c r="H80" s="71"/>
      <x:c r="I80" s="71"/>
      <x:c r="J80" s="71"/>
      <x:c r="K80" s="46"/>
      <x:c r="L80" s="46"/>
      <x:c r="M80" s="46"/>
      <x:c r="N80" s="46"/>
      <x:c r="O80" s="46"/>
      <x:c r="P80" s="46"/>
      <x:c r="Q80" s="47" t="str">
        <x:f>IF(C80="","",IF(OR(J80&gt;IFERROR(INDEX('Normal Parameters'!$G$5:$G$104,MATCH(1,('Normal Parameters'!$A$5:$A$104=D80)*('Normal Parameters'!$B$5:$B$104=E80)*('Normal Parameters'!$C$5:$C$104="Behavior Score"),0)),99),F80&lt;IFERROR(INDEX('Normal Parameters'!$E$5:$E$104,MATCH(1,('Normal Parameters'!$A$5:$A$104=D80)*('Normal Parameters'!$B$5:$B$104=E80)*('Normal Parameters'!$C$5:$C$104="Weight"),0)),0),F80&gt;IFERROR(INDEX('Normal Parameters'!$G$5:$G$104,MATCH(1,('Normal Parameters'!$A$5:$A$104=D80)*('Normal Parameters'!$B$5:$B$104=E80)*('Normal Parameters'!$C$5:$C$104="Weight"),0)),9999),I80&lt;IFERROR(INDEX('Normal Parameters'!$E$5:$E$104,MATCH(1,('Normal Parameters'!$A$5:$A$104=D80)*('Normal Parameters'!$B$5:$B$104=E80)*('Normal Parameters'!$C$5:$C$104="Temperature"),0)),0),I80&gt;IFERROR(INDEX('Normal Parameters'!$G$5:$G$104,MATCH(1,('Normal Parameters'!$A$5:$A$104=D80)*('Normal Parameters'!$B$5:$B$104=E80)*('Normal Parameters'!$C$5:$C$104="Temperature"),0)),9999)),"Check","Normal"))</x:f>
      </x:c>
    </x:row>
    <x:row r="81" ht="15" hidden="0" customHeight="1">
      <x:c r="A81" s="74"/>
      <x:c r="B81" s="46"/>
      <x:c r="C81" s="46"/>
      <x:c r="D81" s="46" t="str">
        <x:f>IFERROR(XLOOKUP(C81,'Animals'!$A$5:$A$104,'Animals'!$C$5:$C$104,""),"")</x:f>
      </x:c>
      <x:c r="E81" s="46" t="str">
        <x:f>IFERROR(XLOOKUP(C81,'Animals'!$A$5:$A$104,'Animals'!$H$5:$H$104,""),"")</x:f>
      </x:c>
      <x:c r="F81" s="71"/>
      <x:c r="G81" s="71"/>
      <x:c r="H81" s="71"/>
      <x:c r="I81" s="71"/>
      <x:c r="J81" s="71"/>
      <x:c r="K81" s="46"/>
      <x:c r="L81" s="46"/>
      <x:c r="M81" s="46"/>
      <x:c r="N81" s="46"/>
      <x:c r="O81" s="46"/>
      <x:c r="P81" s="46"/>
      <x:c r="Q81" s="47" t="str">
        <x:f>IF(C81="","",IF(OR(J81&gt;IFERROR(INDEX('Normal Parameters'!$G$5:$G$104,MATCH(1,('Normal Parameters'!$A$5:$A$104=D81)*('Normal Parameters'!$B$5:$B$104=E81)*('Normal Parameters'!$C$5:$C$104="Behavior Score"),0)),99),F81&lt;IFERROR(INDEX('Normal Parameters'!$E$5:$E$104,MATCH(1,('Normal Parameters'!$A$5:$A$104=D81)*('Normal Parameters'!$B$5:$B$104=E81)*('Normal Parameters'!$C$5:$C$104="Weight"),0)),0),F81&gt;IFERROR(INDEX('Normal Parameters'!$G$5:$G$104,MATCH(1,('Normal Parameters'!$A$5:$A$104=D81)*('Normal Parameters'!$B$5:$B$104=E81)*('Normal Parameters'!$C$5:$C$104="Weight"),0)),9999),I81&lt;IFERROR(INDEX('Normal Parameters'!$E$5:$E$104,MATCH(1,('Normal Parameters'!$A$5:$A$104=D81)*('Normal Parameters'!$B$5:$B$104=E81)*('Normal Parameters'!$C$5:$C$104="Temperature"),0)),0),I81&gt;IFERROR(INDEX('Normal Parameters'!$G$5:$G$104,MATCH(1,('Normal Parameters'!$A$5:$A$104=D81)*('Normal Parameters'!$B$5:$B$104=E81)*('Normal Parameters'!$C$5:$C$104="Temperature"),0)),9999)),"Check","Normal"))</x:f>
      </x:c>
    </x:row>
    <x:row r="82" ht="15" hidden="0" customHeight="1">
      <x:c r="A82" s="74"/>
      <x:c r="B82" s="46"/>
      <x:c r="C82" s="46"/>
      <x:c r="D82" s="46" t="str">
        <x:f>IFERROR(XLOOKUP(C82,'Animals'!$A$5:$A$104,'Animals'!$C$5:$C$104,""),"")</x:f>
      </x:c>
      <x:c r="E82" s="46" t="str">
        <x:f>IFERROR(XLOOKUP(C82,'Animals'!$A$5:$A$104,'Animals'!$H$5:$H$104,""),"")</x:f>
      </x:c>
      <x:c r="F82" s="71"/>
      <x:c r="G82" s="71"/>
      <x:c r="H82" s="71"/>
      <x:c r="I82" s="71"/>
      <x:c r="J82" s="71"/>
      <x:c r="K82" s="46"/>
      <x:c r="L82" s="46"/>
      <x:c r="M82" s="46"/>
      <x:c r="N82" s="46"/>
      <x:c r="O82" s="46"/>
      <x:c r="P82" s="46"/>
      <x:c r="Q82" s="47" t="str">
        <x:f>IF(C82="","",IF(OR(J82&gt;IFERROR(INDEX('Normal Parameters'!$G$5:$G$104,MATCH(1,('Normal Parameters'!$A$5:$A$104=D82)*('Normal Parameters'!$B$5:$B$104=E82)*('Normal Parameters'!$C$5:$C$104="Behavior Score"),0)),99),F82&lt;IFERROR(INDEX('Normal Parameters'!$E$5:$E$104,MATCH(1,('Normal Parameters'!$A$5:$A$104=D82)*('Normal Parameters'!$B$5:$B$104=E82)*('Normal Parameters'!$C$5:$C$104="Weight"),0)),0),F82&gt;IFERROR(INDEX('Normal Parameters'!$G$5:$G$104,MATCH(1,('Normal Parameters'!$A$5:$A$104=D82)*('Normal Parameters'!$B$5:$B$104=E82)*('Normal Parameters'!$C$5:$C$104="Weight"),0)),9999),I82&lt;IFERROR(INDEX('Normal Parameters'!$E$5:$E$104,MATCH(1,('Normal Parameters'!$A$5:$A$104=D82)*('Normal Parameters'!$B$5:$B$104=E82)*('Normal Parameters'!$C$5:$C$104="Temperature"),0)),0),I82&gt;IFERROR(INDEX('Normal Parameters'!$G$5:$G$104,MATCH(1,('Normal Parameters'!$A$5:$A$104=D82)*('Normal Parameters'!$B$5:$B$104=E82)*('Normal Parameters'!$C$5:$C$104="Temperature"),0)),9999)),"Check","Normal"))</x:f>
      </x:c>
    </x:row>
    <x:row r="83" ht="15" hidden="0" customHeight="1">
      <x:c r="A83" s="74"/>
      <x:c r="B83" s="46"/>
      <x:c r="C83" s="46"/>
      <x:c r="D83" s="46" t="str">
        <x:f>IFERROR(XLOOKUP(C83,'Animals'!$A$5:$A$104,'Animals'!$C$5:$C$104,""),"")</x:f>
      </x:c>
      <x:c r="E83" s="46" t="str">
        <x:f>IFERROR(XLOOKUP(C83,'Animals'!$A$5:$A$104,'Animals'!$H$5:$H$104,""),"")</x:f>
      </x:c>
      <x:c r="F83" s="71"/>
      <x:c r="G83" s="71"/>
      <x:c r="H83" s="71"/>
      <x:c r="I83" s="71"/>
      <x:c r="J83" s="71"/>
      <x:c r="K83" s="46"/>
      <x:c r="L83" s="46"/>
      <x:c r="M83" s="46"/>
      <x:c r="N83" s="46"/>
      <x:c r="O83" s="46"/>
      <x:c r="P83" s="46"/>
      <x:c r="Q83" s="47" t="str">
        <x:f>IF(C83="","",IF(OR(J83&gt;IFERROR(INDEX('Normal Parameters'!$G$5:$G$104,MATCH(1,('Normal Parameters'!$A$5:$A$104=D83)*('Normal Parameters'!$B$5:$B$104=E83)*('Normal Parameters'!$C$5:$C$104="Behavior Score"),0)),99),F83&lt;IFERROR(INDEX('Normal Parameters'!$E$5:$E$104,MATCH(1,('Normal Parameters'!$A$5:$A$104=D83)*('Normal Parameters'!$B$5:$B$104=E83)*('Normal Parameters'!$C$5:$C$104="Weight"),0)),0),F83&gt;IFERROR(INDEX('Normal Parameters'!$G$5:$G$104,MATCH(1,('Normal Parameters'!$A$5:$A$104=D83)*('Normal Parameters'!$B$5:$B$104=E83)*('Normal Parameters'!$C$5:$C$104="Weight"),0)),9999),I83&lt;IFERROR(INDEX('Normal Parameters'!$E$5:$E$104,MATCH(1,('Normal Parameters'!$A$5:$A$104=D83)*('Normal Parameters'!$B$5:$B$104=E83)*('Normal Parameters'!$C$5:$C$104="Temperature"),0)),0),I83&gt;IFERROR(INDEX('Normal Parameters'!$G$5:$G$104,MATCH(1,('Normal Parameters'!$A$5:$A$104=D83)*('Normal Parameters'!$B$5:$B$104=E83)*('Normal Parameters'!$C$5:$C$104="Temperature"),0)),9999)),"Check","Normal"))</x:f>
      </x:c>
    </x:row>
    <x:row r="84" ht="15" hidden="0" customHeight="1">
      <x:c r="A84" s="74"/>
      <x:c r="B84" s="46"/>
      <x:c r="C84" s="46"/>
      <x:c r="D84" s="46" t="str">
        <x:f>IFERROR(XLOOKUP(C84,'Animals'!$A$5:$A$104,'Animals'!$C$5:$C$104,""),"")</x:f>
      </x:c>
      <x:c r="E84" s="46" t="str">
        <x:f>IFERROR(XLOOKUP(C84,'Animals'!$A$5:$A$104,'Animals'!$H$5:$H$104,""),"")</x:f>
      </x:c>
      <x:c r="F84" s="71"/>
      <x:c r="G84" s="71"/>
      <x:c r="H84" s="71"/>
      <x:c r="I84" s="71"/>
      <x:c r="J84" s="71"/>
      <x:c r="K84" s="46"/>
      <x:c r="L84" s="46"/>
      <x:c r="M84" s="46"/>
      <x:c r="N84" s="46"/>
      <x:c r="O84" s="46"/>
      <x:c r="P84" s="46"/>
      <x:c r="Q84" s="47" t="str">
        <x:f>IF(C84="","",IF(OR(J84&gt;IFERROR(INDEX('Normal Parameters'!$G$5:$G$104,MATCH(1,('Normal Parameters'!$A$5:$A$104=D84)*('Normal Parameters'!$B$5:$B$104=E84)*('Normal Parameters'!$C$5:$C$104="Behavior Score"),0)),99),F84&lt;IFERROR(INDEX('Normal Parameters'!$E$5:$E$104,MATCH(1,('Normal Parameters'!$A$5:$A$104=D84)*('Normal Parameters'!$B$5:$B$104=E84)*('Normal Parameters'!$C$5:$C$104="Weight"),0)),0),F84&gt;IFERROR(INDEX('Normal Parameters'!$G$5:$G$104,MATCH(1,('Normal Parameters'!$A$5:$A$104=D84)*('Normal Parameters'!$B$5:$B$104=E84)*('Normal Parameters'!$C$5:$C$104="Weight"),0)),9999),I84&lt;IFERROR(INDEX('Normal Parameters'!$E$5:$E$104,MATCH(1,('Normal Parameters'!$A$5:$A$104=D84)*('Normal Parameters'!$B$5:$B$104=E84)*('Normal Parameters'!$C$5:$C$104="Temperature"),0)),0),I84&gt;IFERROR(INDEX('Normal Parameters'!$G$5:$G$104,MATCH(1,('Normal Parameters'!$A$5:$A$104=D84)*('Normal Parameters'!$B$5:$B$104=E84)*('Normal Parameters'!$C$5:$C$104="Temperature"),0)),9999)),"Check","Normal"))</x:f>
      </x:c>
    </x:row>
    <x:row r="85" ht="15" hidden="0" customHeight="1">
      <x:c r="A85" s="74"/>
      <x:c r="B85" s="46"/>
      <x:c r="C85" s="46"/>
      <x:c r="D85" s="46" t="str">
        <x:f>IFERROR(XLOOKUP(C85,'Animals'!$A$5:$A$104,'Animals'!$C$5:$C$104,""),"")</x:f>
      </x:c>
      <x:c r="E85" s="46" t="str">
        <x:f>IFERROR(XLOOKUP(C85,'Animals'!$A$5:$A$104,'Animals'!$H$5:$H$104,""),"")</x:f>
      </x:c>
      <x:c r="F85" s="71"/>
      <x:c r="G85" s="71"/>
      <x:c r="H85" s="71"/>
      <x:c r="I85" s="71"/>
      <x:c r="J85" s="71"/>
      <x:c r="K85" s="46"/>
      <x:c r="L85" s="46"/>
      <x:c r="M85" s="46"/>
      <x:c r="N85" s="46"/>
      <x:c r="O85" s="46"/>
      <x:c r="P85" s="46"/>
      <x:c r="Q85" s="47" t="str">
        <x:f>IF(C85="","",IF(OR(J85&gt;IFERROR(INDEX('Normal Parameters'!$G$5:$G$104,MATCH(1,('Normal Parameters'!$A$5:$A$104=D85)*('Normal Parameters'!$B$5:$B$104=E85)*('Normal Parameters'!$C$5:$C$104="Behavior Score"),0)),99),F85&lt;IFERROR(INDEX('Normal Parameters'!$E$5:$E$104,MATCH(1,('Normal Parameters'!$A$5:$A$104=D85)*('Normal Parameters'!$B$5:$B$104=E85)*('Normal Parameters'!$C$5:$C$104="Weight"),0)),0),F85&gt;IFERROR(INDEX('Normal Parameters'!$G$5:$G$104,MATCH(1,('Normal Parameters'!$A$5:$A$104=D85)*('Normal Parameters'!$B$5:$B$104=E85)*('Normal Parameters'!$C$5:$C$104="Weight"),0)),9999),I85&lt;IFERROR(INDEX('Normal Parameters'!$E$5:$E$104,MATCH(1,('Normal Parameters'!$A$5:$A$104=D85)*('Normal Parameters'!$B$5:$B$104=E85)*('Normal Parameters'!$C$5:$C$104="Temperature"),0)),0),I85&gt;IFERROR(INDEX('Normal Parameters'!$G$5:$G$104,MATCH(1,('Normal Parameters'!$A$5:$A$104=D85)*('Normal Parameters'!$B$5:$B$104=E85)*('Normal Parameters'!$C$5:$C$104="Temperature"),0)),9999)),"Check","Normal"))</x:f>
      </x:c>
    </x:row>
    <x:row r="86" ht="15" hidden="0" customHeight="1">
      <x:c r="A86" s="74"/>
      <x:c r="B86" s="46"/>
      <x:c r="C86" s="46"/>
      <x:c r="D86" s="46" t="str">
        <x:f>IFERROR(XLOOKUP(C86,'Animals'!$A$5:$A$104,'Animals'!$C$5:$C$104,""),"")</x:f>
      </x:c>
      <x:c r="E86" s="46" t="str">
        <x:f>IFERROR(XLOOKUP(C86,'Animals'!$A$5:$A$104,'Animals'!$H$5:$H$104,""),"")</x:f>
      </x:c>
      <x:c r="F86" s="71"/>
      <x:c r="G86" s="71"/>
      <x:c r="H86" s="71"/>
      <x:c r="I86" s="71"/>
      <x:c r="J86" s="71"/>
      <x:c r="K86" s="46"/>
      <x:c r="L86" s="46"/>
      <x:c r="M86" s="46"/>
      <x:c r="N86" s="46"/>
      <x:c r="O86" s="46"/>
      <x:c r="P86" s="46"/>
      <x:c r="Q86" s="47" t="str">
        <x:f>IF(C86="","",IF(OR(J86&gt;IFERROR(INDEX('Normal Parameters'!$G$5:$G$104,MATCH(1,('Normal Parameters'!$A$5:$A$104=D86)*('Normal Parameters'!$B$5:$B$104=E86)*('Normal Parameters'!$C$5:$C$104="Behavior Score"),0)),99),F86&lt;IFERROR(INDEX('Normal Parameters'!$E$5:$E$104,MATCH(1,('Normal Parameters'!$A$5:$A$104=D86)*('Normal Parameters'!$B$5:$B$104=E86)*('Normal Parameters'!$C$5:$C$104="Weight"),0)),0),F86&gt;IFERROR(INDEX('Normal Parameters'!$G$5:$G$104,MATCH(1,('Normal Parameters'!$A$5:$A$104=D86)*('Normal Parameters'!$B$5:$B$104=E86)*('Normal Parameters'!$C$5:$C$104="Weight"),0)),9999),I86&lt;IFERROR(INDEX('Normal Parameters'!$E$5:$E$104,MATCH(1,('Normal Parameters'!$A$5:$A$104=D86)*('Normal Parameters'!$B$5:$B$104=E86)*('Normal Parameters'!$C$5:$C$104="Temperature"),0)),0),I86&gt;IFERROR(INDEX('Normal Parameters'!$G$5:$G$104,MATCH(1,('Normal Parameters'!$A$5:$A$104=D86)*('Normal Parameters'!$B$5:$B$104=E86)*('Normal Parameters'!$C$5:$C$104="Temperature"),0)),9999)),"Check","Normal"))</x:f>
      </x:c>
    </x:row>
    <x:row r="87" ht="15" hidden="0" customHeight="1">
      <x:c r="A87" s="74"/>
      <x:c r="B87" s="46"/>
      <x:c r="C87" s="46"/>
      <x:c r="D87" s="46" t="str">
        <x:f>IFERROR(XLOOKUP(C87,'Animals'!$A$5:$A$104,'Animals'!$C$5:$C$104,""),"")</x:f>
      </x:c>
      <x:c r="E87" s="46" t="str">
        <x:f>IFERROR(XLOOKUP(C87,'Animals'!$A$5:$A$104,'Animals'!$H$5:$H$104,""),"")</x:f>
      </x:c>
      <x:c r="F87" s="71"/>
      <x:c r="G87" s="71"/>
      <x:c r="H87" s="71"/>
      <x:c r="I87" s="71"/>
      <x:c r="J87" s="71"/>
      <x:c r="K87" s="46"/>
      <x:c r="L87" s="46"/>
      <x:c r="M87" s="46"/>
      <x:c r="N87" s="46"/>
      <x:c r="O87" s="46"/>
      <x:c r="P87" s="46"/>
      <x:c r="Q87" s="47" t="str">
        <x:f>IF(C87="","",IF(OR(J87&gt;IFERROR(INDEX('Normal Parameters'!$G$5:$G$104,MATCH(1,('Normal Parameters'!$A$5:$A$104=D87)*('Normal Parameters'!$B$5:$B$104=E87)*('Normal Parameters'!$C$5:$C$104="Behavior Score"),0)),99),F87&lt;IFERROR(INDEX('Normal Parameters'!$E$5:$E$104,MATCH(1,('Normal Parameters'!$A$5:$A$104=D87)*('Normal Parameters'!$B$5:$B$104=E87)*('Normal Parameters'!$C$5:$C$104="Weight"),0)),0),F87&gt;IFERROR(INDEX('Normal Parameters'!$G$5:$G$104,MATCH(1,('Normal Parameters'!$A$5:$A$104=D87)*('Normal Parameters'!$B$5:$B$104=E87)*('Normal Parameters'!$C$5:$C$104="Weight"),0)),9999),I87&lt;IFERROR(INDEX('Normal Parameters'!$E$5:$E$104,MATCH(1,('Normal Parameters'!$A$5:$A$104=D87)*('Normal Parameters'!$B$5:$B$104=E87)*('Normal Parameters'!$C$5:$C$104="Temperature"),0)),0),I87&gt;IFERROR(INDEX('Normal Parameters'!$G$5:$G$104,MATCH(1,('Normal Parameters'!$A$5:$A$104=D87)*('Normal Parameters'!$B$5:$B$104=E87)*('Normal Parameters'!$C$5:$C$104="Temperature"),0)),9999)),"Check","Normal"))</x:f>
      </x:c>
    </x:row>
    <x:row r="88" ht="15" hidden="0" customHeight="1">
      <x:c r="A88" s="74"/>
      <x:c r="B88" s="46"/>
      <x:c r="C88" s="46"/>
      <x:c r="D88" s="46" t="str">
        <x:f>IFERROR(XLOOKUP(C88,'Animals'!$A$5:$A$104,'Animals'!$C$5:$C$104,""),"")</x:f>
      </x:c>
      <x:c r="E88" s="46" t="str">
        <x:f>IFERROR(XLOOKUP(C88,'Animals'!$A$5:$A$104,'Animals'!$H$5:$H$104,""),"")</x:f>
      </x:c>
      <x:c r="F88" s="71"/>
      <x:c r="G88" s="71"/>
      <x:c r="H88" s="71"/>
      <x:c r="I88" s="71"/>
      <x:c r="J88" s="71"/>
      <x:c r="K88" s="46"/>
      <x:c r="L88" s="46"/>
      <x:c r="M88" s="46"/>
      <x:c r="N88" s="46"/>
      <x:c r="O88" s="46"/>
      <x:c r="P88" s="46"/>
      <x:c r="Q88" s="47" t="str">
        <x:f>IF(C88="","",IF(OR(J88&gt;IFERROR(INDEX('Normal Parameters'!$G$5:$G$104,MATCH(1,('Normal Parameters'!$A$5:$A$104=D88)*('Normal Parameters'!$B$5:$B$104=E88)*('Normal Parameters'!$C$5:$C$104="Behavior Score"),0)),99),F88&lt;IFERROR(INDEX('Normal Parameters'!$E$5:$E$104,MATCH(1,('Normal Parameters'!$A$5:$A$104=D88)*('Normal Parameters'!$B$5:$B$104=E88)*('Normal Parameters'!$C$5:$C$104="Weight"),0)),0),F88&gt;IFERROR(INDEX('Normal Parameters'!$G$5:$G$104,MATCH(1,('Normal Parameters'!$A$5:$A$104=D88)*('Normal Parameters'!$B$5:$B$104=E88)*('Normal Parameters'!$C$5:$C$104="Weight"),0)),9999),I88&lt;IFERROR(INDEX('Normal Parameters'!$E$5:$E$104,MATCH(1,('Normal Parameters'!$A$5:$A$104=D88)*('Normal Parameters'!$B$5:$B$104=E88)*('Normal Parameters'!$C$5:$C$104="Temperature"),0)),0),I88&gt;IFERROR(INDEX('Normal Parameters'!$G$5:$G$104,MATCH(1,('Normal Parameters'!$A$5:$A$104=D88)*('Normal Parameters'!$B$5:$B$104=E88)*('Normal Parameters'!$C$5:$C$104="Temperature"),0)),9999)),"Check","Normal"))</x:f>
      </x:c>
    </x:row>
    <x:row r="89" ht="15" hidden="0" customHeight="1">
      <x:c r="A89" s="74"/>
      <x:c r="B89" s="46"/>
      <x:c r="C89" s="46"/>
      <x:c r="D89" s="46" t="str">
        <x:f>IFERROR(XLOOKUP(C89,'Animals'!$A$5:$A$104,'Animals'!$C$5:$C$104,""),"")</x:f>
      </x:c>
      <x:c r="E89" s="46" t="str">
        <x:f>IFERROR(XLOOKUP(C89,'Animals'!$A$5:$A$104,'Animals'!$H$5:$H$104,""),"")</x:f>
      </x:c>
      <x:c r="F89" s="71"/>
      <x:c r="G89" s="71"/>
      <x:c r="H89" s="71"/>
      <x:c r="I89" s="71"/>
      <x:c r="J89" s="71"/>
      <x:c r="K89" s="46"/>
      <x:c r="L89" s="46"/>
      <x:c r="M89" s="46"/>
      <x:c r="N89" s="46"/>
      <x:c r="O89" s="46"/>
      <x:c r="P89" s="46"/>
      <x:c r="Q89" s="47" t="str">
        <x:f>IF(C89="","",IF(OR(J89&gt;IFERROR(INDEX('Normal Parameters'!$G$5:$G$104,MATCH(1,('Normal Parameters'!$A$5:$A$104=D89)*('Normal Parameters'!$B$5:$B$104=E89)*('Normal Parameters'!$C$5:$C$104="Behavior Score"),0)),99),F89&lt;IFERROR(INDEX('Normal Parameters'!$E$5:$E$104,MATCH(1,('Normal Parameters'!$A$5:$A$104=D89)*('Normal Parameters'!$B$5:$B$104=E89)*('Normal Parameters'!$C$5:$C$104="Weight"),0)),0),F89&gt;IFERROR(INDEX('Normal Parameters'!$G$5:$G$104,MATCH(1,('Normal Parameters'!$A$5:$A$104=D89)*('Normal Parameters'!$B$5:$B$104=E89)*('Normal Parameters'!$C$5:$C$104="Weight"),0)),9999),I89&lt;IFERROR(INDEX('Normal Parameters'!$E$5:$E$104,MATCH(1,('Normal Parameters'!$A$5:$A$104=D89)*('Normal Parameters'!$B$5:$B$104=E89)*('Normal Parameters'!$C$5:$C$104="Temperature"),0)),0),I89&gt;IFERROR(INDEX('Normal Parameters'!$G$5:$G$104,MATCH(1,('Normal Parameters'!$A$5:$A$104=D89)*('Normal Parameters'!$B$5:$B$104=E89)*('Normal Parameters'!$C$5:$C$104="Temperature"),0)),9999)),"Check","Normal"))</x:f>
      </x:c>
    </x:row>
    <x:row r="90" ht="15" hidden="0" customHeight="1">
      <x:c r="A90" s="74"/>
      <x:c r="B90" s="46"/>
      <x:c r="C90" s="46"/>
      <x:c r="D90" s="46" t="str">
        <x:f>IFERROR(XLOOKUP(C90,'Animals'!$A$5:$A$104,'Animals'!$C$5:$C$104,""),"")</x:f>
      </x:c>
      <x:c r="E90" s="46" t="str">
        <x:f>IFERROR(XLOOKUP(C90,'Animals'!$A$5:$A$104,'Animals'!$H$5:$H$104,""),"")</x:f>
      </x:c>
      <x:c r="F90" s="71"/>
      <x:c r="G90" s="71"/>
      <x:c r="H90" s="71"/>
      <x:c r="I90" s="71"/>
      <x:c r="J90" s="71"/>
      <x:c r="K90" s="46"/>
      <x:c r="L90" s="46"/>
      <x:c r="M90" s="46"/>
      <x:c r="N90" s="46"/>
      <x:c r="O90" s="46"/>
      <x:c r="P90" s="46"/>
      <x:c r="Q90" s="47" t="str">
        <x:f>IF(C90="","",IF(OR(J90&gt;IFERROR(INDEX('Normal Parameters'!$G$5:$G$104,MATCH(1,('Normal Parameters'!$A$5:$A$104=D90)*('Normal Parameters'!$B$5:$B$104=E90)*('Normal Parameters'!$C$5:$C$104="Behavior Score"),0)),99),F90&lt;IFERROR(INDEX('Normal Parameters'!$E$5:$E$104,MATCH(1,('Normal Parameters'!$A$5:$A$104=D90)*('Normal Parameters'!$B$5:$B$104=E90)*('Normal Parameters'!$C$5:$C$104="Weight"),0)),0),F90&gt;IFERROR(INDEX('Normal Parameters'!$G$5:$G$104,MATCH(1,('Normal Parameters'!$A$5:$A$104=D90)*('Normal Parameters'!$B$5:$B$104=E90)*('Normal Parameters'!$C$5:$C$104="Weight"),0)),9999),I90&lt;IFERROR(INDEX('Normal Parameters'!$E$5:$E$104,MATCH(1,('Normal Parameters'!$A$5:$A$104=D90)*('Normal Parameters'!$B$5:$B$104=E90)*('Normal Parameters'!$C$5:$C$104="Temperature"),0)),0),I90&gt;IFERROR(INDEX('Normal Parameters'!$G$5:$G$104,MATCH(1,('Normal Parameters'!$A$5:$A$104=D90)*('Normal Parameters'!$B$5:$B$104=E90)*('Normal Parameters'!$C$5:$C$104="Temperature"),0)),9999)),"Check","Normal"))</x:f>
      </x:c>
    </x:row>
    <x:row r="91" ht="15" hidden="0" customHeight="1">
      <x:c r="A91" s="74"/>
      <x:c r="B91" s="46"/>
      <x:c r="C91" s="46"/>
      <x:c r="D91" s="46" t="str">
        <x:f>IFERROR(XLOOKUP(C91,'Animals'!$A$5:$A$104,'Animals'!$C$5:$C$104,""),"")</x:f>
      </x:c>
      <x:c r="E91" s="46" t="str">
        <x:f>IFERROR(XLOOKUP(C91,'Animals'!$A$5:$A$104,'Animals'!$H$5:$H$104,""),"")</x:f>
      </x:c>
      <x:c r="F91" s="71"/>
      <x:c r="G91" s="71"/>
      <x:c r="H91" s="71"/>
      <x:c r="I91" s="71"/>
      <x:c r="J91" s="71"/>
      <x:c r="K91" s="46"/>
      <x:c r="L91" s="46"/>
      <x:c r="M91" s="46"/>
      <x:c r="N91" s="46"/>
      <x:c r="O91" s="46"/>
      <x:c r="P91" s="46"/>
      <x:c r="Q91" s="47" t="str">
        <x:f>IF(C91="","",IF(OR(J91&gt;IFERROR(INDEX('Normal Parameters'!$G$5:$G$104,MATCH(1,('Normal Parameters'!$A$5:$A$104=D91)*('Normal Parameters'!$B$5:$B$104=E91)*('Normal Parameters'!$C$5:$C$104="Behavior Score"),0)),99),F91&lt;IFERROR(INDEX('Normal Parameters'!$E$5:$E$104,MATCH(1,('Normal Parameters'!$A$5:$A$104=D91)*('Normal Parameters'!$B$5:$B$104=E91)*('Normal Parameters'!$C$5:$C$104="Weight"),0)),0),F91&gt;IFERROR(INDEX('Normal Parameters'!$G$5:$G$104,MATCH(1,('Normal Parameters'!$A$5:$A$104=D91)*('Normal Parameters'!$B$5:$B$104=E91)*('Normal Parameters'!$C$5:$C$104="Weight"),0)),9999),I91&lt;IFERROR(INDEX('Normal Parameters'!$E$5:$E$104,MATCH(1,('Normal Parameters'!$A$5:$A$104=D91)*('Normal Parameters'!$B$5:$B$104=E91)*('Normal Parameters'!$C$5:$C$104="Temperature"),0)),0),I91&gt;IFERROR(INDEX('Normal Parameters'!$G$5:$G$104,MATCH(1,('Normal Parameters'!$A$5:$A$104=D91)*('Normal Parameters'!$B$5:$B$104=E91)*('Normal Parameters'!$C$5:$C$104="Temperature"),0)),9999)),"Check","Normal"))</x:f>
      </x:c>
    </x:row>
    <x:row r="92" ht="15" hidden="0" customHeight="1">
      <x:c r="A92" s="74"/>
      <x:c r="B92" s="46"/>
      <x:c r="C92" s="46"/>
      <x:c r="D92" s="46" t="str">
        <x:f>IFERROR(XLOOKUP(C92,'Animals'!$A$5:$A$104,'Animals'!$C$5:$C$104,""),"")</x:f>
      </x:c>
      <x:c r="E92" s="46" t="str">
        <x:f>IFERROR(XLOOKUP(C92,'Animals'!$A$5:$A$104,'Animals'!$H$5:$H$104,""),"")</x:f>
      </x:c>
      <x:c r="F92" s="71"/>
      <x:c r="G92" s="71"/>
      <x:c r="H92" s="71"/>
      <x:c r="I92" s="71"/>
      <x:c r="J92" s="71"/>
      <x:c r="K92" s="46"/>
      <x:c r="L92" s="46"/>
      <x:c r="M92" s="46"/>
      <x:c r="N92" s="46"/>
      <x:c r="O92" s="46"/>
      <x:c r="P92" s="46"/>
      <x:c r="Q92" s="47" t="str">
        <x:f>IF(C92="","",IF(OR(J92&gt;IFERROR(INDEX('Normal Parameters'!$G$5:$G$104,MATCH(1,('Normal Parameters'!$A$5:$A$104=D92)*('Normal Parameters'!$B$5:$B$104=E92)*('Normal Parameters'!$C$5:$C$104="Behavior Score"),0)),99),F92&lt;IFERROR(INDEX('Normal Parameters'!$E$5:$E$104,MATCH(1,('Normal Parameters'!$A$5:$A$104=D92)*('Normal Parameters'!$B$5:$B$104=E92)*('Normal Parameters'!$C$5:$C$104="Weight"),0)),0),F92&gt;IFERROR(INDEX('Normal Parameters'!$G$5:$G$104,MATCH(1,('Normal Parameters'!$A$5:$A$104=D92)*('Normal Parameters'!$B$5:$B$104=E92)*('Normal Parameters'!$C$5:$C$104="Weight"),0)),9999),I92&lt;IFERROR(INDEX('Normal Parameters'!$E$5:$E$104,MATCH(1,('Normal Parameters'!$A$5:$A$104=D92)*('Normal Parameters'!$B$5:$B$104=E92)*('Normal Parameters'!$C$5:$C$104="Temperature"),0)),0),I92&gt;IFERROR(INDEX('Normal Parameters'!$G$5:$G$104,MATCH(1,('Normal Parameters'!$A$5:$A$104=D92)*('Normal Parameters'!$B$5:$B$104=E92)*('Normal Parameters'!$C$5:$C$104="Temperature"),0)),9999)),"Check","Normal"))</x:f>
      </x:c>
    </x:row>
    <x:row r="93" ht="15" hidden="0" customHeight="1">
      <x:c r="A93" s="74"/>
      <x:c r="B93" s="46"/>
      <x:c r="C93" s="46"/>
      <x:c r="D93" s="46" t="str">
        <x:f>IFERROR(XLOOKUP(C93,'Animals'!$A$5:$A$104,'Animals'!$C$5:$C$104,""),"")</x:f>
      </x:c>
      <x:c r="E93" s="46" t="str">
        <x:f>IFERROR(XLOOKUP(C93,'Animals'!$A$5:$A$104,'Animals'!$H$5:$H$104,""),"")</x:f>
      </x:c>
      <x:c r="F93" s="71"/>
      <x:c r="G93" s="71"/>
      <x:c r="H93" s="71"/>
      <x:c r="I93" s="71"/>
      <x:c r="J93" s="71"/>
      <x:c r="K93" s="46"/>
      <x:c r="L93" s="46"/>
      <x:c r="M93" s="46"/>
      <x:c r="N93" s="46"/>
      <x:c r="O93" s="46"/>
      <x:c r="P93" s="46"/>
      <x:c r="Q93" s="47" t="str">
        <x:f>IF(C93="","",IF(OR(J93&gt;IFERROR(INDEX('Normal Parameters'!$G$5:$G$104,MATCH(1,('Normal Parameters'!$A$5:$A$104=D93)*('Normal Parameters'!$B$5:$B$104=E93)*('Normal Parameters'!$C$5:$C$104="Behavior Score"),0)),99),F93&lt;IFERROR(INDEX('Normal Parameters'!$E$5:$E$104,MATCH(1,('Normal Parameters'!$A$5:$A$104=D93)*('Normal Parameters'!$B$5:$B$104=E93)*('Normal Parameters'!$C$5:$C$104="Weight"),0)),0),F93&gt;IFERROR(INDEX('Normal Parameters'!$G$5:$G$104,MATCH(1,('Normal Parameters'!$A$5:$A$104=D93)*('Normal Parameters'!$B$5:$B$104=E93)*('Normal Parameters'!$C$5:$C$104="Weight"),0)),9999),I93&lt;IFERROR(INDEX('Normal Parameters'!$E$5:$E$104,MATCH(1,('Normal Parameters'!$A$5:$A$104=D93)*('Normal Parameters'!$B$5:$B$104=E93)*('Normal Parameters'!$C$5:$C$104="Temperature"),0)),0),I93&gt;IFERROR(INDEX('Normal Parameters'!$G$5:$G$104,MATCH(1,('Normal Parameters'!$A$5:$A$104=D93)*('Normal Parameters'!$B$5:$B$104=E93)*('Normal Parameters'!$C$5:$C$104="Temperature"),0)),9999)),"Check","Normal"))</x:f>
      </x:c>
    </x:row>
    <x:row r="94" ht="15" hidden="0" customHeight="1">
      <x:c r="A94" s="74"/>
      <x:c r="B94" s="46"/>
      <x:c r="C94" s="46"/>
      <x:c r="D94" s="46" t="str">
        <x:f>IFERROR(XLOOKUP(C94,'Animals'!$A$5:$A$104,'Animals'!$C$5:$C$104,""),"")</x:f>
      </x:c>
      <x:c r="E94" s="46" t="str">
        <x:f>IFERROR(XLOOKUP(C94,'Animals'!$A$5:$A$104,'Animals'!$H$5:$H$104,""),"")</x:f>
      </x:c>
      <x:c r="F94" s="71"/>
      <x:c r="G94" s="71"/>
      <x:c r="H94" s="71"/>
      <x:c r="I94" s="71"/>
      <x:c r="J94" s="71"/>
      <x:c r="K94" s="46"/>
      <x:c r="L94" s="46"/>
      <x:c r="M94" s="46"/>
      <x:c r="N94" s="46"/>
      <x:c r="O94" s="46"/>
      <x:c r="P94" s="46"/>
      <x:c r="Q94" s="47" t="str">
        <x:f>IF(C94="","",IF(OR(J94&gt;IFERROR(INDEX('Normal Parameters'!$G$5:$G$104,MATCH(1,('Normal Parameters'!$A$5:$A$104=D94)*('Normal Parameters'!$B$5:$B$104=E94)*('Normal Parameters'!$C$5:$C$104="Behavior Score"),0)),99),F94&lt;IFERROR(INDEX('Normal Parameters'!$E$5:$E$104,MATCH(1,('Normal Parameters'!$A$5:$A$104=D94)*('Normal Parameters'!$B$5:$B$104=E94)*('Normal Parameters'!$C$5:$C$104="Weight"),0)),0),F94&gt;IFERROR(INDEX('Normal Parameters'!$G$5:$G$104,MATCH(1,('Normal Parameters'!$A$5:$A$104=D94)*('Normal Parameters'!$B$5:$B$104=E94)*('Normal Parameters'!$C$5:$C$104="Weight"),0)),9999),I94&lt;IFERROR(INDEX('Normal Parameters'!$E$5:$E$104,MATCH(1,('Normal Parameters'!$A$5:$A$104=D94)*('Normal Parameters'!$B$5:$B$104=E94)*('Normal Parameters'!$C$5:$C$104="Temperature"),0)),0),I94&gt;IFERROR(INDEX('Normal Parameters'!$G$5:$G$104,MATCH(1,('Normal Parameters'!$A$5:$A$104=D94)*('Normal Parameters'!$B$5:$B$104=E94)*('Normal Parameters'!$C$5:$C$104="Temperature"),0)),9999)),"Check","Normal"))</x:f>
      </x:c>
    </x:row>
    <x:row r="95" ht="15" hidden="0" customHeight="1">
      <x:c r="A95" s="74"/>
      <x:c r="B95" s="46"/>
      <x:c r="C95" s="46"/>
      <x:c r="D95" s="46" t="str">
        <x:f>IFERROR(XLOOKUP(C95,'Animals'!$A$5:$A$104,'Animals'!$C$5:$C$104,""),"")</x:f>
      </x:c>
      <x:c r="E95" s="46" t="str">
        <x:f>IFERROR(XLOOKUP(C95,'Animals'!$A$5:$A$104,'Animals'!$H$5:$H$104,""),"")</x:f>
      </x:c>
      <x:c r="F95" s="71"/>
      <x:c r="G95" s="71"/>
      <x:c r="H95" s="71"/>
      <x:c r="I95" s="71"/>
      <x:c r="J95" s="71"/>
      <x:c r="K95" s="46"/>
      <x:c r="L95" s="46"/>
      <x:c r="M95" s="46"/>
      <x:c r="N95" s="46"/>
      <x:c r="O95" s="46"/>
      <x:c r="P95" s="46"/>
      <x:c r="Q95" s="47" t="str">
        <x:f>IF(C95="","",IF(OR(J95&gt;IFERROR(INDEX('Normal Parameters'!$G$5:$G$104,MATCH(1,('Normal Parameters'!$A$5:$A$104=D95)*('Normal Parameters'!$B$5:$B$104=E95)*('Normal Parameters'!$C$5:$C$104="Behavior Score"),0)),99),F95&lt;IFERROR(INDEX('Normal Parameters'!$E$5:$E$104,MATCH(1,('Normal Parameters'!$A$5:$A$104=D95)*('Normal Parameters'!$B$5:$B$104=E95)*('Normal Parameters'!$C$5:$C$104="Weight"),0)),0),F95&gt;IFERROR(INDEX('Normal Parameters'!$G$5:$G$104,MATCH(1,('Normal Parameters'!$A$5:$A$104=D95)*('Normal Parameters'!$B$5:$B$104=E95)*('Normal Parameters'!$C$5:$C$104="Weight"),0)),9999),I95&lt;IFERROR(INDEX('Normal Parameters'!$E$5:$E$104,MATCH(1,('Normal Parameters'!$A$5:$A$104=D95)*('Normal Parameters'!$B$5:$B$104=E95)*('Normal Parameters'!$C$5:$C$104="Temperature"),0)),0),I95&gt;IFERROR(INDEX('Normal Parameters'!$G$5:$G$104,MATCH(1,('Normal Parameters'!$A$5:$A$104=D95)*('Normal Parameters'!$B$5:$B$104=E95)*('Normal Parameters'!$C$5:$C$104="Temperature"),0)),9999)),"Check","Normal"))</x:f>
      </x:c>
    </x:row>
    <x:row r="96" ht="15" hidden="0" customHeight="1">
      <x:c r="A96" s="74"/>
      <x:c r="B96" s="46"/>
      <x:c r="C96" s="46"/>
      <x:c r="D96" s="46" t="str">
        <x:f>IFERROR(XLOOKUP(C96,'Animals'!$A$5:$A$104,'Animals'!$C$5:$C$104,""),"")</x:f>
      </x:c>
      <x:c r="E96" s="46" t="str">
        <x:f>IFERROR(XLOOKUP(C96,'Animals'!$A$5:$A$104,'Animals'!$H$5:$H$104,""),"")</x:f>
      </x:c>
      <x:c r="F96" s="71"/>
      <x:c r="G96" s="71"/>
      <x:c r="H96" s="71"/>
      <x:c r="I96" s="71"/>
      <x:c r="J96" s="71"/>
      <x:c r="K96" s="46"/>
      <x:c r="L96" s="46"/>
      <x:c r="M96" s="46"/>
      <x:c r="N96" s="46"/>
      <x:c r="O96" s="46"/>
      <x:c r="P96" s="46"/>
      <x:c r="Q96" s="47" t="str">
        <x:f>IF(C96="","",IF(OR(J96&gt;IFERROR(INDEX('Normal Parameters'!$G$5:$G$104,MATCH(1,('Normal Parameters'!$A$5:$A$104=D96)*('Normal Parameters'!$B$5:$B$104=E96)*('Normal Parameters'!$C$5:$C$104="Behavior Score"),0)),99),F96&lt;IFERROR(INDEX('Normal Parameters'!$E$5:$E$104,MATCH(1,('Normal Parameters'!$A$5:$A$104=D96)*('Normal Parameters'!$B$5:$B$104=E96)*('Normal Parameters'!$C$5:$C$104="Weight"),0)),0),F96&gt;IFERROR(INDEX('Normal Parameters'!$G$5:$G$104,MATCH(1,('Normal Parameters'!$A$5:$A$104=D96)*('Normal Parameters'!$B$5:$B$104=E96)*('Normal Parameters'!$C$5:$C$104="Weight"),0)),9999),I96&lt;IFERROR(INDEX('Normal Parameters'!$E$5:$E$104,MATCH(1,('Normal Parameters'!$A$5:$A$104=D96)*('Normal Parameters'!$B$5:$B$104=E96)*('Normal Parameters'!$C$5:$C$104="Temperature"),0)),0),I96&gt;IFERROR(INDEX('Normal Parameters'!$G$5:$G$104,MATCH(1,('Normal Parameters'!$A$5:$A$104=D96)*('Normal Parameters'!$B$5:$B$104=E96)*('Normal Parameters'!$C$5:$C$104="Temperature"),0)),9999)),"Check","Normal"))</x:f>
      </x:c>
    </x:row>
    <x:row r="97" ht="15" hidden="0" customHeight="1">
      <x:c r="A97" s="74"/>
      <x:c r="B97" s="46"/>
      <x:c r="C97" s="46"/>
      <x:c r="D97" s="46" t="str">
        <x:f>IFERROR(XLOOKUP(C97,'Animals'!$A$5:$A$104,'Animals'!$C$5:$C$104,""),"")</x:f>
      </x:c>
      <x:c r="E97" s="46" t="str">
        <x:f>IFERROR(XLOOKUP(C97,'Animals'!$A$5:$A$104,'Animals'!$H$5:$H$104,""),"")</x:f>
      </x:c>
      <x:c r="F97" s="71"/>
      <x:c r="G97" s="71"/>
      <x:c r="H97" s="71"/>
      <x:c r="I97" s="71"/>
      <x:c r="J97" s="71"/>
      <x:c r="K97" s="46"/>
      <x:c r="L97" s="46"/>
      <x:c r="M97" s="46"/>
      <x:c r="N97" s="46"/>
      <x:c r="O97" s="46"/>
      <x:c r="P97" s="46"/>
      <x:c r="Q97" s="47" t="str">
        <x:f>IF(C97="","",IF(OR(J97&gt;IFERROR(INDEX('Normal Parameters'!$G$5:$G$104,MATCH(1,('Normal Parameters'!$A$5:$A$104=D97)*('Normal Parameters'!$B$5:$B$104=E97)*('Normal Parameters'!$C$5:$C$104="Behavior Score"),0)),99),F97&lt;IFERROR(INDEX('Normal Parameters'!$E$5:$E$104,MATCH(1,('Normal Parameters'!$A$5:$A$104=D97)*('Normal Parameters'!$B$5:$B$104=E97)*('Normal Parameters'!$C$5:$C$104="Weight"),0)),0),F97&gt;IFERROR(INDEX('Normal Parameters'!$G$5:$G$104,MATCH(1,('Normal Parameters'!$A$5:$A$104=D97)*('Normal Parameters'!$B$5:$B$104=E97)*('Normal Parameters'!$C$5:$C$104="Weight"),0)),9999),I97&lt;IFERROR(INDEX('Normal Parameters'!$E$5:$E$104,MATCH(1,('Normal Parameters'!$A$5:$A$104=D97)*('Normal Parameters'!$B$5:$B$104=E97)*('Normal Parameters'!$C$5:$C$104="Temperature"),0)),0),I97&gt;IFERROR(INDEX('Normal Parameters'!$G$5:$G$104,MATCH(1,('Normal Parameters'!$A$5:$A$104=D97)*('Normal Parameters'!$B$5:$B$104=E97)*('Normal Parameters'!$C$5:$C$104="Temperature"),0)),9999)),"Check","Normal"))</x:f>
      </x:c>
    </x:row>
    <x:row r="98" ht="15" hidden="0" customHeight="1">
      <x:c r="A98" s="74"/>
      <x:c r="B98" s="46"/>
      <x:c r="C98" s="46"/>
      <x:c r="D98" s="46" t="str">
        <x:f>IFERROR(XLOOKUP(C98,'Animals'!$A$5:$A$104,'Animals'!$C$5:$C$104,""),"")</x:f>
      </x:c>
      <x:c r="E98" s="46" t="str">
        <x:f>IFERROR(XLOOKUP(C98,'Animals'!$A$5:$A$104,'Animals'!$H$5:$H$104,""),"")</x:f>
      </x:c>
      <x:c r="F98" s="71"/>
      <x:c r="G98" s="71"/>
      <x:c r="H98" s="71"/>
      <x:c r="I98" s="71"/>
      <x:c r="J98" s="71"/>
      <x:c r="K98" s="46"/>
      <x:c r="L98" s="46"/>
      <x:c r="M98" s="46"/>
      <x:c r="N98" s="46"/>
      <x:c r="O98" s="46"/>
      <x:c r="P98" s="46"/>
      <x:c r="Q98" s="47" t="str">
        <x:f>IF(C98="","",IF(OR(J98&gt;IFERROR(INDEX('Normal Parameters'!$G$5:$G$104,MATCH(1,('Normal Parameters'!$A$5:$A$104=D98)*('Normal Parameters'!$B$5:$B$104=E98)*('Normal Parameters'!$C$5:$C$104="Behavior Score"),0)),99),F98&lt;IFERROR(INDEX('Normal Parameters'!$E$5:$E$104,MATCH(1,('Normal Parameters'!$A$5:$A$104=D98)*('Normal Parameters'!$B$5:$B$104=E98)*('Normal Parameters'!$C$5:$C$104="Weight"),0)),0),F98&gt;IFERROR(INDEX('Normal Parameters'!$G$5:$G$104,MATCH(1,('Normal Parameters'!$A$5:$A$104=D98)*('Normal Parameters'!$B$5:$B$104=E98)*('Normal Parameters'!$C$5:$C$104="Weight"),0)),9999),I98&lt;IFERROR(INDEX('Normal Parameters'!$E$5:$E$104,MATCH(1,('Normal Parameters'!$A$5:$A$104=D98)*('Normal Parameters'!$B$5:$B$104=E98)*('Normal Parameters'!$C$5:$C$104="Temperature"),0)),0),I98&gt;IFERROR(INDEX('Normal Parameters'!$G$5:$G$104,MATCH(1,('Normal Parameters'!$A$5:$A$104=D98)*('Normal Parameters'!$B$5:$B$104=E98)*('Normal Parameters'!$C$5:$C$104="Temperature"),0)),9999)),"Check","Normal"))</x:f>
      </x:c>
    </x:row>
    <x:row r="99" ht="15" hidden="0" customHeight="1">
      <x:c r="A99" s="74"/>
      <x:c r="B99" s="46"/>
      <x:c r="C99" s="46"/>
      <x:c r="D99" s="46" t="str">
        <x:f>IFERROR(XLOOKUP(C99,'Animals'!$A$5:$A$104,'Animals'!$C$5:$C$104,""),"")</x:f>
      </x:c>
      <x:c r="E99" s="46" t="str">
        <x:f>IFERROR(XLOOKUP(C99,'Animals'!$A$5:$A$104,'Animals'!$H$5:$H$104,""),"")</x:f>
      </x:c>
      <x:c r="F99" s="71"/>
      <x:c r="G99" s="71"/>
      <x:c r="H99" s="71"/>
      <x:c r="I99" s="71"/>
      <x:c r="J99" s="71"/>
      <x:c r="K99" s="46"/>
      <x:c r="L99" s="46"/>
      <x:c r="M99" s="46"/>
      <x:c r="N99" s="46"/>
      <x:c r="O99" s="46"/>
      <x:c r="P99" s="46"/>
      <x:c r="Q99" s="47" t="str">
        <x:f>IF(C99="","",IF(OR(J99&gt;IFERROR(INDEX('Normal Parameters'!$G$5:$G$104,MATCH(1,('Normal Parameters'!$A$5:$A$104=D99)*('Normal Parameters'!$B$5:$B$104=E99)*('Normal Parameters'!$C$5:$C$104="Behavior Score"),0)),99),F99&lt;IFERROR(INDEX('Normal Parameters'!$E$5:$E$104,MATCH(1,('Normal Parameters'!$A$5:$A$104=D99)*('Normal Parameters'!$B$5:$B$104=E99)*('Normal Parameters'!$C$5:$C$104="Weight"),0)),0),F99&gt;IFERROR(INDEX('Normal Parameters'!$G$5:$G$104,MATCH(1,('Normal Parameters'!$A$5:$A$104=D99)*('Normal Parameters'!$B$5:$B$104=E99)*('Normal Parameters'!$C$5:$C$104="Weight"),0)),9999),I99&lt;IFERROR(INDEX('Normal Parameters'!$E$5:$E$104,MATCH(1,('Normal Parameters'!$A$5:$A$104=D99)*('Normal Parameters'!$B$5:$B$104=E99)*('Normal Parameters'!$C$5:$C$104="Temperature"),0)),0),I99&gt;IFERROR(INDEX('Normal Parameters'!$G$5:$G$104,MATCH(1,('Normal Parameters'!$A$5:$A$104=D99)*('Normal Parameters'!$B$5:$B$104=E99)*('Normal Parameters'!$C$5:$C$104="Temperature"),0)),9999)),"Check","Normal"))</x:f>
      </x:c>
    </x:row>
    <x:row r="100" ht="15" hidden="0" customHeight="1">
      <x:c r="A100" s="74"/>
      <x:c r="B100" s="46"/>
      <x:c r="C100" s="46"/>
      <x:c r="D100" s="46" t="str">
        <x:f>IFERROR(XLOOKUP(C100,'Animals'!$A$5:$A$104,'Animals'!$C$5:$C$104,""),"")</x:f>
      </x:c>
      <x:c r="E100" s="46" t="str">
        <x:f>IFERROR(XLOOKUP(C100,'Animals'!$A$5:$A$104,'Animals'!$H$5:$H$104,""),"")</x:f>
      </x:c>
      <x:c r="F100" s="71"/>
      <x:c r="G100" s="71"/>
      <x:c r="H100" s="71"/>
      <x:c r="I100" s="71"/>
      <x:c r="J100" s="71"/>
      <x:c r="K100" s="46"/>
      <x:c r="L100" s="46"/>
      <x:c r="M100" s="46"/>
      <x:c r="N100" s="46"/>
      <x:c r="O100" s="46"/>
      <x:c r="P100" s="46"/>
      <x:c r="Q100" s="47" t="str">
        <x:f>IF(C100="","",IF(OR(J100&gt;IFERROR(INDEX('Normal Parameters'!$G$5:$G$104,MATCH(1,('Normal Parameters'!$A$5:$A$104=D100)*('Normal Parameters'!$B$5:$B$104=E100)*('Normal Parameters'!$C$5:$C$104="Behavior Score"),0)),99),F100&lt;IFERROR(INDEX('Normal Parameters'!$E$5:$E$104,MATCH(1,('Normal Parameters'!$A$5:$A$104=D100)*('Normal Parameters'!$B$5:$B$104=E100)*('Normal Parameters'!$C$5:$C$104="Weight"),0)),0),F100&gt;IFERROR(INDEX('Normal Parameters'!$G$5:$G$104,MATCH(1,('Normal Parameters'!$A$5:$A$104=D100)*('Normal Parameters'!$B$5:$B$104=E100)*('Normal Parameters'!$C$5:$C$104="Weight"),0)),9999),I100&lt;IFERROR(INDEX('Normal Parameters'!$E$5:$E$104,MATCH(1,('Normal Parameters'!$A$5:$A$104=D100)*('Normal Parameters'!$B$5:$B$104=E100)*('Normal Parameters'!$C$5:$C$104="Temperature"),0)),0),I100&gt;IFERROR(INDEX('Normal Parameters'!$G$5:$G$104,MATCH(1,('Normal Parameters'!$A$5:$A$104=D100)*('Normal Parameters'!$B$5:$B$104=E100)*('Normal Parameters'!$C$5:$C$104="Temperature"),0)),9999)),"Check","Normal"))</x:f>
      </x:c>
    </x:row>
    <x:row r="101" ht="15" hidden="0" customHeight="1">
      <x:c r="A101" s="74"/>
      <x:c r="B101" s="46"/>
      <x:c r="C101" s="46"/>
      <x:c r="D101" s="46" t="str">
        <x:f>IFERROR(XLOOKUP(C101,'Animals'!$A$5:$A$104,'Animals'!$C$5:$C$104,""),"")</x:f>
      </x:c>
      <x:c r="E101" s="46" t="str">
        <x:f>IFERROR(XLOOKUP(C101,'Animals'!$A$5:$A$104,'Animals'!$H$5:$H$104,""),"")</x:f>
      </x:c>
      <x:c r="F101" s="71"/>
      <x:c r="G101" s="71"/>
      <x:c r="H101" s="71"/>
      <x:c r="I101" s="71"/>
      <x:c r="J101" s="71"/>
      <x:c r="K101" s="46"/>
      <x:c r="L101" s="46"/>
      <x:c r="M101" s="46"/>
      <x:c r="N101" s="46"/>
      <x:c r="O101" s="46"/>
      <x:c r="P101" s="46"/>
      <x:c r="Q101" s="47" t="str">
        <x:f>IF(C101="","",IF(OR(J101&gt;IFERROR(INDEX('Normal Parameters'!$G$5:$G$104,MATCH(1,('Normal Parameters'!$A$5:$A$104=D101)*('Normal Parameters'!$B$5:$B$104=E101)*('Normal Parameters'!$C$5:$C$104="Behavior Score"),0)),99),F101&lt;IFERROR(INDEX('Normal Parameters'!$E$5:$E$104,MATCH(1,('Normal Parameters'!$A$5:$A$104=D101)*('Normal Parameters'!$B$5:$B$104=E101)*('Normal Parameters'!$C$5:$C$104="Weight"),0)),0),F101&gt;IFERROR(INDEX('Normal Parameters'!$G$5:$G$104,MATCH(1,('Normal Parameters'!$A$5:$A$104=D101)*('Normal Parameters'!$B$5:$B$104=E101)*('Normal Parameters'!$C$5:$C$104="Weight"),0)),9999),I101&lt;IFERROR(INDEX('Normal Parameters'!$E$5:$E$104,MATCH(1,('Normal Parameters'!$A$5:$A$104=D101)*('Normal Parameters'!$B$5:$B$104=E101)*('Normal Parameters'!$C$5:$C$104="Temperature"),0)),0),I101&gt;IFERROR(INDEX('Normal Parameters'!$G$5:$G$104,MATCH(1,('Normal Parameters'!$A$5:$A$104=D101)*('Normal Parameters'!$B$5:$B$104=E101)*('Normal Parameters'!$C$5:$C$104="Temperature"),0)),9999)),"Check","Normal"))</x:f>
      </x:c>
    </x:row>
    <x:row r="102" ht="15" hidden="0" customHeight="1">
      <x:c r="A102" s="74"/>
      <x:c r="B102" s="46"/>
      <x:c r="C102" s="46"/>
      <x:c r="D102" s="46" t="str">
        <x:f>IFERROR(XLOOKUP(C102,'Animals'!$A$5:$A$104,'Animals'!$C$5:$C$104,""),"")</x:f>
      </x:c>
      <x:c r="E102" s="46" t="str">
        <x:f>IFERROR(XLOOKUP(C102,'Animals'!$A$5:$A$104,'Animals'!$H$5:$H$104,""),"")</x:f>
      </x:c>
      <x:c r="F102" s="71"/>
      <x:c r="G102" s="71"/>
      <x:c r="H102" s="71"/>
      <x:c r="I102" s="71"/>
      <x:c r="J102" s="71"/>
      <x:c r="K102" s="46"/>
      <x:c r="L102" s="46"/>
      <x:c r="M102" s="46"/>
      <x:c r="N102" s="46"/>
      <x:c r="O102" s="46"/>
      <x:c r="P102" s="46"/>
      <x:c r="Q102" s="47" t="str">
        <x:f>IF(C102="","",IF(OR(J102&gt;IFERROR(INDEX('Normal Parameters'!$G$5:$G$104,MATCH(1,('Normal Parameters'!$A$5:$A$104=D102)*('Normal Parameters'!$B$5:$B$104=E102)*('Normal Parameters'!$C$5:$C$104="Behavior Score"),0)),99),F102&lt;IFERROR(INDEX('Normal Parameters'!$E$5:$E$104,MATCH(1,('Normal Parameters'!$A$5:$A$104=D102)*('Normal Parameters'!$B$5:$B$104=E102)*('Normal Parameters'!$C$5:$C$104="Weight"),0)),0),F102&gt;IFERROR(INDEX('Normal Parameters'!$G$5:$G$104,MATCH(1,('Normal Parameters'!$A$5:$A$104=D102)*('Normal Parameters'!$B$5:$B$104=E102)*('Normal Parameters'!$C$5:$C$104="Weight"),0)),9999),I102&lt;IFERROR(INDEX('Normal Parameters'!$E$5:$E$104,MATCH(1,('Normal Parameters'!$A$5:$A$104=D102)*('Normal Parameters'!$B$5:$B$104=E102)*('Normal Parameters'!$C$5:$C$104="Temperature"),0)),0),I102&gt;IFERROR(INDEX('Normal Parameters'!$G$5:$G$104,MATCH(1,('Normal Parameters'!$A$5:$A$104=D102)*('Normal Parameters'!$B$5:$B$104=E102)*('Normal Parameters'!$C$5:$C$104="Temperature"),0)),9999)),"Check","Normal"))</x:f>
      </x:c>
    </x:row>
    <x:row r="103" ht="15" hidden="0" customHeight="1">
      <x:c r="A103" s="74"/>
      <x:c r="B103" s="46"/>
      <x:c r="C103" s="46"/>
      <x:c r="D103" s="46" t="str">
        <x:f>IFERROR(XLOOKUP(C103,'Animals'!$A$5:$A$104,'Animals'!$C$5:$C$104,""),"")</x:f>
      </x:c>
      <x:c r="E103" s="46" t="str">
        <x:f>IFERROR(XLOOKUP(C103,'Animals'!$A$5:$A$104,'Animals'!$H$5:$H$104,""),"")</x:f>
      </x:c>
      <x:c r="F103" s="71"/>
      <x:c r="G103" s="71"/>
      <x:c r="H103" s="71"/>
      <x:c r="I103" s="71"/>
      <x:c r="J103" s="71"/>
      <x:c r="K103" s="46"/>
      <x:c r="L103" s="46"/>
      <x:c r="M103" s="46"/>
      <x:c r="N103" s="46"/>
      <x:c r="O103" s="46"/>
      <x:c r="P103" s="46"/>
      <x:c r="Q103" s="47" t="str">
        <x:f>IF(C103="","",IF(OR(J103&gt;IFERROR(INDEX('Normal Parameters'!$G$5:$G$104,MATCH(1,('Normal Parameters'!$A$5:$A$104=D103)*('Normal Parameters'!$B$5:$B$104=E103)*('Normal Parameters'!$C$5:$C$104="Behavior Score"),0)),99),F103&lt;IFERROR(INDEX('Normal Parameters'!$E$5:$E$104,MATCH(1,('Normal Parameters'!$A$5:$A$104=D103)*('Normal Parameters'!$B$5:$B$104=E103)*('Normal Parameters'!$C$5:$C$104="Weight"),0)),0),F103&gt;IFERROR(INDEX('Normal Parameters'!$G$5:$G$104,MATCH(1,('Normal Parameters'!$A$5:$A$104=D103)*('Normal Parameters'!$B$5:$B$104=E103)*('Normal Parameters'!$C$5:$C$104="Weight"),0)),9999),I103&lt;IFERROR(INDEX('Normal Parameters'!$E$5:$E$104,MATCH(1,('Normal Parameters'!$A$5:$A$104=D103)*('Normal Parameters'!$B$5:$B$104=E103)*('Normal Parameters'!$C$5:$C$104="Temperature"),0)),0),I103&gt;IFERROR(INDEX('Normal Parameters'!$G$5:$G$104,MATCH(1,('Normal Parameters'!$A$5:$A$104=D103)*('Normal Parameters'!$B$5:$B$104=E103)*('Normal Parameters'!$C$5:$C$104="Temperature"),0)),9999)),"Check","Normal"))</x:f>
      </x:c>
    </x:row>
    <x:row r="104" ht="15" hidden="0" customHeight="1">
      <x:c r="A104" s="74"/>
      <x:c r="B104" s="46"/>
      <x:c r="C104" s="46"/>
      <x:c r="D104" s="46" t="str">
        <x:f>IFERROR(XLOOKUP(C104,'Animals'!$A$5:$A$104,'Animals'!$C$5:$C$104,""),"")</x:f>
      </x:c>
      <x:c r="E104" s="46" t="str">
        <x:f>IFERROR(XLOOKUP(C104,'Animals'!$A$5:$A$104,'Animals'!$H$5:$H$104,""),"")</x:f>
      </x:c>
      <x:c r="F104" s="71"/>
      <x:c r="G104" s="71"/>
      <x:c r="H104" s="71"/>
      <x:c r="I104" s="71"/>
      <x:c r="J104" s="71"/>
      <x:c r="K104" s="46"/>
      <x:c r="L104" s="46"/>
      <x:c r="M104" s="46"/>
      <x:c r="N104" s="46"/>
      <x:c r="O104" s="46"/>
      <x:c r="P104" s="46"/>
      <x:c r="Q104" s="47" t="str">
        <x:f>IF(C104="","",IF(OR(J104&gt;IFERROR(INDEX('Normal Parameters'!$G$5:$G$104,MATCH(1,('Normal Parameters'!$A$5:$A$104=D104)*('Normal Parameters'!$B$5:$B$104=E104)*('Normal Parameters'!$C$5:$C$104="Behavior Score"),0)),99),F104&lt;IFERROR(INDEX('Normal Parameters'!$E$5:$E$104,MATCH(1,('Normal Parameters'!$A$5:$A$104=D104)*('Normal Parameters'!$B$5:$B$104=E104)*('Normal Parameters'!$C$5:$C$104="Weight"),0)),0),F104&gt;IFERROR(INDEX('Normal Parameters'!$G$5:$G$104,MATCH(1,('Normal Parameters'!$A$5:$A$104=D104)*('Normal Parameters'!$B$5:$B$104=E104)*('Normal Parameters'!$C$5:$C$104="Weight"),0)),9999),I104&lt;IFERROR(INDEX('Normal Parameters'!$E$5:$E$104,MATCH(1,('Normal Parameters'!$A$5:$A$104=D104)*('Normal Parameters'!$B$5:$B$104=E104)*('Normal Parameters'!$C$5:$C$104="Temperature"),0)),0),I104&gt;IFERROR(INDEX('Normal Parameters'!$G$5:$G$104,MATCH(1,('Normal Parameters'!$A$5:$A$104=D104)*('Normal Parameters'!$B$5:$B$104=E104)*('Normal Parameters'!$C$5:$C$104="Temperature"),0)),9999)),"Check","Normal"))</x:f>
      </x:c>
    </x:row>
    <x:row r="105" ht="15" hidden="0" customHeight="1">
      <x:c r="A105" s="74"/>
      <x:c r="B105" s="46"/>
      <x:c r="C105" s="46"/>
      <x:c r="D105" s="46" t="str">
        <x:f>IFERROR(XLOOKUP(C105,'Animals'!$A$5:$A$104,'Animals'!$C$5:$C$104,""),"")</x:f>
      </x:c>
      <x:c r="E105" s="46" t="str">
        <x:f>IFERROR(XLOOKUP(C105,'Animals'!$A$5:$A$104,'Animals'!$H$5:$H$104,""),"")</x:f>
      </x:c>
      <x:c r="F105" s="71"/>
      <x:c r="G105" s="71"/>
      <x:c r="H105" s="71"/>
      <x:c r="I105" s="71"/>
      <x:c r="J105" s="71"/>
      <x:c r="K105" s="46"/>
      <x:c r="L105" s="46"/>
      <x:c r="M105" s="46"/>
      <x:c r="N105" s="46"/>
      <x:c r="O105" s="46"/>
      <x:c r="P105" s="46"/>
      <x:c r="Q105" s="47" t="str">
        <x:f>IF(C105="","",IF(OR(J105&gt;IFERROR(INDEX('Normal Parameters'!$G$5:$G$104,MATCH(1,('Normal Parameters'!$A$5:$A$104=D105)*('Normal Parameters'!$B$5:$B$104=E105)*('Normal Parameters'!$C$5:$C$104="Behavior Score"),0)),99),F105&lt;IFERROR(INDEX('Normal Parameters'!$E$5:$E$104,MATCH(1,('Normal Parameters'!$A$5:$A$104=D105)*('Normal Parameters'!$B$5:$B$104=E105)*('Normal Parameters'!$C$5:$C$104="Weight"),0)),0),F105&gt;IFERROR(INDEX('Normal Parameters'!$G$5:$G$104,MATCH(1,('Normal Parameters'!$A$5:$A$104=D105)*('Normal Parameters'!$B$5:$B$104=E105)*('Normal Parameters'!$C$5:$C$104="Weight"),0)),9999),I105&lt;IFERROR(INDEX('Normal Parameters'!$E$5:$E$104,MATCH(1,('Normal Parameters'!$A$5:$A$104=D105)*('Normal Parameters'!$B$5:$B$104=E105)*('Normal Parameters'!$C$5:$C$104="Temperature"),0)),0),I105&gt;IFERROR(INDEX('Normal Parameters'!$G$5:$G$104,MATCH(1,('Normal Parameters'!$A$5:$A$104=D105)*('Normal Parameters'!$B$5:$B$104=E105)*('Normal Parameters'!$C$5:$C$104="Temperature"),0)),9999)),"Check","Normal"))</x:f>
      </x:c>
    </x:row>
    <x:row r="106" ht="15" hidden="0" customHeight="1">
      <x:c r="A106" s="74"/>
      <x:c r="B106" s="46"/>
      <x:c r="C106" s="46"/>
      <x:c r="D106" s="46" t="str">
        <x:f>IFERROR(XLOOKUP(C106,'Animals'!$A$5:$A$104,'Animals'!$C$5:$C$104,""),"")</x:f>
      </x:c>
      <x:c r="E106" s="46" t="str">
        <x:f>IFERROR(XLOOKUP(C106,'Animals'!$A$5:$A$104,'Animals'!$H$5:$H$104,""),"")</x:f>
      </x:c>
      <x:c r="F106" s="71"/>
      <x:c r="G106" s="71"/>
      <x:c r="H106" s="71"/>
      <x:c r="I106" s="71"/>
      <x:c r="J106" s="71"/>
      <x:c r="K106" s="46"/>
      <x:c r="L106" s="46"/>
      <x:c r="M106" s="46"/>
      <x:c r="N106" s="46"/>
      <x:c r="O106" s="46"/>
      <x:c r="P106" s="46"/>
      <x:c r="Q106" s="47" t="str">
        <x:f>IF(C106="","",IF(OR(J106&gt;IFERROR(INDEX('Normal Parameters'!$G$5:$G$104,MATCH(1,('Normal Parameters'!$A$5:$A$104=D106)*('Normal Parameters'!$B$5:$B$104=E106)*('Normal Parameters'!$C$5:$C$104="Behavior Score"),0)),99),F106&lt;IFERROR(INDEX('Normal Parameters'!$E$5:$E$104,MATCH(1,('Normal Parameters'!$A$5:$A$104=D106)*('Normal Parameters'!$B$5:$B$104=E106)*('Normal Parameters'!$C$5:$C$104="Weight"),0)),0),F106&gt;IFERROR(INDEX('Normal Parameters'!$G$5:$G$104,MATCH(1,('Normal Parameters'!$A$5:$A$104=D106)*('Normal Parameters'!$B$5:$B$104=E106)*('Normal Parameters'!$C$5:$C$104="Weight"),0)),9999),I106&lt;IFERROR(INDEX('Normal Parameters'!$E$5:$E$104,MATCH(1,('Normal Parameters'!$A$5:$A$104=D106)*('Normal Parameters'!$B$5:$B$104=E106)*('Normal Parameters'!$C$5:$C$104="Temperature"),0)),0),I106&gt;IFERROR(INDEX('Normal Parameters'!$G$5:$G$104,MATCH(1,('Normal Parameters'!$A$5:$A$104=D106)*('Normal Parameters'!$B$5:$B$104=E106)*('Normal Parameters'!$C$5:$C$104="Temperature"),0)),9999)),"Check","Normal"))</x:f>
      </x:c>
    </x:row>
    <x:row r="107" ht="15" hidden="0" customHeight="1">
      <x:c r="A107" s="74"/>
      <x:c r="B107" s="46"/>
      <x:c r="C107" s="46"/>
      <x:c r="D107" s="46" t="str">
        <x:f>IFERROR(XLOOKUP(C107,'Animals'!$A$5:$A$104,'Animals'!$C$5:$C$104,""),"")</x:f>
      </x:c>
      <x:c r="E107" s="46" t="str">
        <x:f>IFERROR(XLOOKUP(C107,'Animals'!$A$5:$A$104,'Animals'!$H$5:$H$104,""),"")</x:f>
      </x:c>
      <x:c r="F107" s="71"/>
      <x:c r="G107" s="71"/>
      <x:c r="H107" s="71"/>
      <x:c r="I107" s="71"/>
      <x:c r="J107" s="71"/>
      <x:c r="K107" s="46"/>
      <x:c r="L107" s="46"/>
      <x:c r="M107" s="46"/>
      <x:c r="N107" s="46"/>
      <x:c r="O107" s="46"/>
      <x:c r="P107" s="46"/>
      <x:c r="Q107" s="47" t="str">
        <x:f>IF(C107="","",IF(OR(J107&gt;IFERROR(INDEX('Normal Parameters'!$G$5:$G$104,MATCH(1,('Normal Parameters'!$A$5:$A$104=D107)*('Normal Parameters'!$B$5:$B$104=E107)*('Normal Parameters'!$C$5:$C$104="Behavior Score"),0)),99),F107&lt;IFERROR(INDEX('Normal Parameters'!$E$5:$E$104,MATCH(1,('Normal Parameters'!$A$5:$A$104=D107)*('Normal Parameters'!$B$5:$B$104=E107)*('Normal Parameters'!$C$5:$C$104="Weight"),0)),0),F107&gt;IFERROR(INDEX('Normal Parameters'!$G$5:$G$104,MATCH(1,('Normal Parameters'!$A$5:$A$104=D107)*('Normal Parameters'!$B$5:$B$104=E107)*('Normal Parameters'!$C$5:$C$104="Weight"),0)),9999),I107&lt;IFERROR(INDEX('Normal Parameters'!$E$5:$E$104,MATCH(1,('Normal Parameters'!$A$5:$A$104=D107)*('Normal Parameters'!$B$5:$B$104=E107)*('Normal Parameters'!$C$5:$C$104="Temperature"),0)),0),I107&gt;IFERROR(INDEX('Normal Parameters'!$G$5:$G$104,MATCH(1,('Normal Parameters'!$A$5:$A$104=D107)*('Normal Parameters'!$B$5:$B$104=E107)*('Normal Parameters'!$C$5:$C$104="Temperature"),0)),9999)),"Check","Normal"))</x:f>
      </x:c>
    </x:row>
    <x:row r="108" ht="15" hidden="0" customHeight="1">
      <x:c r="A108" s="74"/>
      <x:c r="B108" s="46"/>
      <x:c r="C108" s="46"/>
      <x:c r="D108" s="46" t="str">
        <x:f>IFERROR(XLOOKUP(C108,'Animals'!$A$5:$A$104,'Animals'!$C$5:$C$104,""),"")</x:f>
      </x:c>
      <x:c r="E108" s="46" t="str">
        <x:f>IFERROR(XLOOKUP(C108,'Animals'!$A$5:$A$104,'Animals'!$H$5:$H$104,""),"")</x:f>
      </x:c>
      <x:c r="F108" s="71"/>
      <x:c r="G108" s="71"/>
      <x:c r="H108" s="71"/>
      <x:c r="I108" s="71"/>
      <x:c r="J108" s="71"/>
      <x:c r="K108" s="46"/>
      <x:c r="L108" s="46"/>
      <x:c r="M108" s="46"/>
      <x:c r="N108" s="46"/>
      <x:c r="O108" s="46"/>
      <x:c r="P108" s="46"/>
      <x:c r="Q108" s="47" t="str">
        <x:f>IF(C108="","",IF(OR(J108&gt;IFERROR(INDEX('Normal Parameters'!$G$5:$G$104,MATCH(1,('Normal Parameters'!$A$5:$A$104=D108)*('Normal Parameters'!$B$5:$B$104=E108)*('Normal Parameters'!$C$5:$C$104="Behavior Score"),0)),99),F108&lt;IFERROR(INDEX('Normal Parameters'!$E$5:$E$104,MATCH(1,('Normal Parameters'!$A$5:$A$104=D108)*('Normal Parameters'!$B$5:$B$104=E108)*('Normal Parameters'!$C$5:$C$104="Weight"),0)),0),F108&gt;IFERROR(INDEX('Normal Parameters'!$G$5:$G$104,MATCH(1,('Normal Parameters'!$A$5:$A$104=D108)*('Normal Parameters'!$B$5:$B$104=E108)*('Normal Parameters'!$C$5:$C$104="Weight"),0)),9999),I108&lt;IFERROR(INDEX('Normal Parameters'!$E$5:$E$104,MATCH(1,('Normal Parameters'!$A$5:$A$104=D108)*('Normal Parameters'!$B$5:$B$104=E108)*('Normal Parameters'!$C$5:$C$104="Temperature"),0)),0),I108&gt;IFERROR(INDEX('Normal Parameters'!$G$5:$G$104,MATCH(1,('Normal Parameters'!$A$5:$A$104=D108)*('Normal Parameters'!$B$5:$B$104=E108)*('Normal Parameters'!$C$5:$C$104="Temperature"),0)),9999)),"Check","Normal"))</x:f>
      </x:c>
    </x:row>
    <x:row r="109" ht="15" hidden="0" customHeight="1">
      <x:c r="A109" s="74"/>
      <x:c r="B109" s="46"/>
      <x:c r="C109" s="46"/>
      <x:c r="D109" s="46" t="str">
        <x:f>IFERROR(XLOOKUP(C109,'Animals'!$A$5:$A$104,'Animals'!$C$5:$C$104,""),"")</x:f>
      </x:c>
      <x:c r="E109" s="46" t="str">
        <x:f>IFERROR(XLOOKUP(C109,'Animals'!$A$5:$A$104,'Animals'!$H$5:$H$104,""),"")</x:f>
      </x:c>
      <x:c r="F109" s="71"/>
      <x:c r="G109" s="71"/>
      <x:c r="H109" s="71"/>
      <x:c r="I109" s="71"/>
      <x:c r="J109" s="71"/>
      <x:c r="K109" s="46"/>
      <x:c r="L109" s="46"/>
      <x:c r="M109" s="46"/>
      <x:c r="N109" s="46"/>
      <x:c r="O109" s="46"/>
      <x:c r="P109" s="46"/>
      <x:c r="Q109" s="47" t="str">
        <x:f>IF(C109="","",IF(OR(J109&gt;IFERROR(INDEX('Normal Parameters'!$G$5:$G$104,MATCH(1,('Normal Parameters'!$A$5:$A$104=D109)*('Normal Parameters'!$B$5:$B$104=E109)*('Normal Parameters'!$C$5:$C$104="Behavior Score"),0)),99),F109&lt;IFERROR(INDEX('Normal Parameters'!$E$5:$E$104,MATCH(1,('Normal Parameters'!$A$5:$A$104=D109)*('Normal Parameters'!$B$5:$B$104=E109)*('Normal Parameters'!$C$5:$C$104="Weight"),0)),0),F109&gt;IFERROR(INDEX('Normal Parameters'!$G$5:$G$104,MATCH(1,('Normal Parameters'!$A$5:$A$104=D109)*('Normal Parameters'!$B$5:$B$104=E109)*('Normal Parameters'!$C$5:$C$104="Weight"),0)),9999),I109&lt;IFERROR(INDEX('Normal Parameters'!$E$5:$E$104,MATCH(1,('Normal Parameters'!$A$5:$A$104=D109)*('Normal Parameters'!$B$5:$B$104=E109)*('Normal Parameters'!$C$5:$C$104="Temperature"),0)),0),I109&gt;IFERROR(INDEX('Normal Parameters'!$G$5:$G$104,MATCH(1,('Normal Parameters'!$A$5:$A$104=D109)*('Normal Parameters'!$B$5:$B$104=E109)*('Normal Parameters'!$C$5:$C$104="Temperature"),0)),9999)),"Check","Normal"))</x:f>
      </x:c>
    </x:row>
    <x:row r="110" ht="15" hidden="0" customHeight="1">
      <x:c r="A110" s="74"/>
      <x:c r="B110" s="46"/>
      <x:c r="C110" s="46"/>
      <x:c r="D110" s="46" t="str">
        <x:f>IFERROR(XLOOKUP(C110,'Animals'!$A$5:$A$104,'Animals'!$C$5:$C$104,""),"")</x:f>
      </x:c>
      <x:c r="E110" s="46" t="str">
        <x:f>IFERROR(XLOOKUP(C110,'Animals'!$A$5:$A$104,'Animals'!$H$5:$H$104,""),"")</x:f>
      </x:c>
      <x:c r="F110" s="71"/>
      <x:c r="G110" s="71"/>
      <x:c r="H110" s="71"/>
      <x:c r="I110" s="71"/>
      <x:c r="J110" s="71"/>
      <x:c r="K110" s="46"/>
      <x:c r="L110" s="46"/>
      <x:c r="M110" s="46"/>
      <x:c r="N110" s="46"/>
      <x:c r="O110" s="46"/>
      <x:c r="P110" s="46"/>
      <x:c r="Q110" s="47" t="str">
        <x:f>IF(C110="","",IF(OR(J110&gt;IFERROR(INDEX('Normal Parameters'!$G$5:$G$104,MATCH(1,('Normal Parameters'!$A$5:$A$104=D110)*('Normal Parameters'!$B$5:$B$104=E110)*('Normal Parameters'!$C$5:$C$104="Behavior Score"),0)),99),F110&lt;IFERROR(INDEX('Normal Parameters'!$E$5:$E$104,MATCH(1,('Normal Parameters'!$A$5:$A$104=D110)*('Normal Parameters'!$B$5:$B$104=E110)*('Normal Parameters'!$C$5:$C$104="Weight"),0)),0),F110&gt;IFERROR(INDEX('Normal Parameters'!$G$5:$G$104,MATCH(1,('Normal Parameters'!$A$5:$A$104=D110)*('Normal Parameters'!$B$5:$B$104=E110)*('Normal Parameters'!$C$5:$C$104="Weight"),0)),9999),I110&lt;IFERROR(INDEX('Normal Parameters'!$E$5:$E$104,MATCH(1,('Normal Parameters'!$A$5:$A$104=D110)*('Normal Parameters'!$B$5:$B$104=E110)*('Normal Parameters'!$C$5:$C$104="Temperature"),0)),0),I110&gt;IFERROR(INDEX('Normal Parameters'!$G$5:$G$104,MATCH(1,('Normal Parameters'!$A$5:$A$104=D110)*('Normal Parameters'!$B$5:$B$104=E110)*('Normal Parameters'!$C$5:$C$104="Temperature"),0)),9999)),"Check","Normal"))</x:f>
      </x:c>
    </x:row>
    <x:row r="111" ht="15" hidden="0" customHeight="1">
      <x:c r="A111" s="74"/>
      <x:c r="B111" s="46"/>
      <x:c r="C111" s="46"/>
      <x:c r="D111" s="46" t="str">
        <x:f>IFERROR(XLOOKUP(C111,'Animals'!$A$5:$A$104,'Animals'!$C$5:$C$104,""),"")</x:f>
      </x:c>
      <x:c r="E111" s="46" t="str">
        <x:f>IFERROR(XLOOKUP(C111,'Animals'!$A$5:$A$104,'Animals'!$H$5:$H$104,""),"")</x:f>
      </x:c>
      <x:c r="F111" s="71"/>
      <x:c r="G111" s="71"/>
      <x:c r="H111" s="71"/>
      <x:c r="I111" s="71"/>
      <x:c r="J111" s="71"/>
      <x:c r="K111" s="46"/>
      <x:c r="L111" s="46"/>
      <x:c r="M111" s="46"/>
      <x:c r="N111" s="46"/>
      <x:c r="O111" s="46"/>
      <x:c r="P111" s="46"/>
      <x:c r="Q111" s="47" t="str">
        <x:f>IF(C111="","",IF(OR(J111&gt;IFERROR(INDEX('Normal Parameters'!$G$5:$G$104,MATCH(1,('Normal Parameters'!$A$5:$A$104=D111)*('Normal Parameters'!$B$5:$B$104=E111)*('Normal Parameters'!$C$5:$C$104="Behavior Score"),0)),99),F111&lt;IFERROR(INDEX('Normal Parameters'!$E$5:$E$104,MATCH(1,('Normal Parameters'!$A$5:$A$104=D111)*('Normal Parameters'!$B$5:$B$104=E111)*('Normal Parameters'!$C$5:$C$104="Weight"),0)),0),F111&gt;IFERROR(INDEX('Normal Parameters'!$G$5:$G$104,MATCH(1,('Normal Parameters'!$A$5:$A$104=D111)*('Normal Parameters'!$B$5:$B$104=E111)*('Normal Parameters'!$C$5:$C$104="Weight"),0)),9999),I111&lt;IFERROR(INDEX('Normal Parameters'!$E$5:$E$104,MATCH(1,('Normal Parameters'!$A$5:$A$104=D111)*('Normal Parameters'!$B$5:$B$104=E111)*('Normal Parameters'!$C$5:$C$104="Temperature"),0)),0),I111&gt;IFERROR(INDEX('Normal Parameters'!$G$5:$G$104,MATCH(1,('Normal Parameters'!$A$5:$A$104=D111)*('Normal Parameters'!$B$5:$B$104=E111)*('Normal Parameters'!$C$5:$C$104="Temperature"),0)),9999)),"Check","Normal"))</x:f>
      </x:c>
    </x:row>
    <x:row r="112" ht="15" hidden="0" customHeight="1">
      <x:c r="A112" s="74"/>
      <x:c r="B112" s="46"/>
      <x:c r="C112" s="46"/>
      <x:c r="D112" s="46" t="str">
        <x:f>IFERROR(XLOOKUP(C112,'Animals'!$A$5:$A$104,'Animals'!$C$5:$C$104,""),"")</x:f>
      </x:c>
      <x:c r="E112" s="46" t="str">
        <x:f>IFERROR(XLOOKUP(C112,'Animals'!$A$5:$A$104,'Animals'!$H$5:$H$104,""),"")</x:f>
      </x:c>
      <x:c r="F112" s="71"/>
      <x:c r="G112" s="71"/>
      <x:c r="H112" s="71"/>
      <x:c r="I112" s="71"/>
      <x:c r="J112" s="71"/>
      <x:c r="K112" s="46"/>
      <x:c r="L112" s="46"/>
      <x:c r="M112" s="46"/>
      <x:c r="N112" s="46"/>
      <x:c r="O112" s="46"/>
      <x:c r="P112" s="46"/>
      <x:c r="Q112" s="47" t="str">
        <x:f>IF(C112="","",IF(OR(J112&gt;IFERROR(INDEX('Normal Parameters'!$G$5:$G$104,MATCH(1,('Normal Parameters'!$A$5:$A$104=D112)*('Normal Parameters'!$B$5:$B$104=E112)*('Normal Parameters'!$C$5:$C$104="Behavior Score"),0)),99),F112&lt;IFERROR(INDEX('Normal Parameters'!$E$5:$E$104,MATCH(1,('Normal Parameters'!$A$5:$A$104=D112)*('Normal Parameters'!$B$5:$B$104=E112)*('Normal Parameters'!$C$5:$C$104="Weight"),0)),0),F112&gt;IFERROR(INDEX('Normal Parameters'!$G$5:$G$104,MATCH(1,('Normal Parameters'!$A$5:$A$104=D112)*('Normal Parameters'!$B$5:$B$104=E112)*('Normal Parameters'!$C$5:$C$104="Weight"),0)),9999),I112&lt;IFERROR(INDEX('Normal Parameters'!$E$5:$E$104,MATCH(1,('Normal Parameters'!$A$5:$A$104=D112)*('Normal Parameters'!$B$5:$B$104=E112)*('Normal Parameters'!$C$5:$C$104="Temperature"),0)),0),I112&gt;IFERROR(INDEX('Normal Parameters'!$G$5:$G$104,MATCH(1,('Normal Parameters'!$A$5:$A$104=D112)*('Normal Parameters'!$B$5:$B$104=E112)*('Normal Parameters'!$C$5:$C$104="Temperature"),0)),9999)),"Check","Normal"))</x:f>
      </x:c>
    </x:row>
    <x:row r="113" ht="15" hidden="0" customHeight="1">
      <x:c r="A113" s="74"/>
      <x:c r="B113" s="46"/>
      <x:c r="C113" s="46"/>
      <x:c r="D113" s="46" t="str">
        <x:f>IFERROR(XLOOKUP(C113,'Animals'!$A$5:$A$104,'Animals'!$C$5:$C$104,""),"")</x:f>
      </x:c>
      <x:c r="E113" s="46" t="str">
        <x:f>IFERROR(XLOOKUP(C113,'Animals'!$A$5:$A$104,'Animals'!$H$5:$H$104,""),"")</x:f>
      </x:c>
      <x:c r="F113" s="71"/>
      <x:c r="G113" s="71"/>
      <x:c r="H113" s="71"/>
      <x:c r="I113" s="71"/>
      <x:c r="J113" s="71"/>
      <x:c r="K113" s="46"/>
      <x:c r="L113" s="46"/>
      <x:c r="M113" s="46"/>
      <x:c r="N113" s="46"/>
      <x:c r="O113" s="46"/>
      <x:c r="P113" s="46"/>
      <x:c r="Q113" s="47" t="str">
        <x:f>IF(C113="","",IF(OR(J113&gt;IFERROR(INDEX('Normal Parameters'!$G$5:$G$104,MATCH(1,('Normal Parameters'!$A$5:$A$104=D113)*('Normal Parameters'!$B$5:$B$104=E113)*('Normal Parameters'!$C$5:$C$104="Behavior Score"),0)),99),F113&lt;IFERROR(INDEX('Normal Parameters'!$E$5:$E$104,MATCH(1,('Normal Parameters'!$A$5:$A$104=D113)*('Normal Parameters'!$B$5:$B$104=E113)*('Normal Parameters'!$C$5:$C$104="Weight"),0)),0),F113&gt;IFERROR(INDEX('Normal Parameters'!$G$5:$G$104,MATCH(1,('Normal Parameters'!$A$5:$A$104=D113)*('Normal Parameters'!$B$5:$B$104=E113)*('Normal Parameters'!$C$5:$C$104="Weight"),0)),9999),I113&lt;IFERROR(INDEX('Normal Parameters'!$E$5:$E$104,MATCH(1,('Normal Parameters'!$A$5:$A$104=D113)*('Normal Parameters'!$B$5:$B$104=E113)*('Normal Parameters'!$C$5:$C$104="Temperature"),0)),0),I113&gt;IFERROR(INDEX('Normal Parameters'!$G$5:$G$104,MATCH(1,('Normal Parameters'!$A$5:$A$104=D113)*('Normal Parameters'!$B$5:$B$104=E113)*('Normal Parameters'!$C$5:$C$104="Temperature"),0)),9999)),"Check","Normal"))</x:f>
      </x:c>
    </x:row>
    <x:row r="114" ht="15" hidden="0" customHeight="1">
      <x:c r="A114" s="74"/>
      <x:c r="B114" s="46"/>
      <x:c r="C114" s="46"/>
      <x:c r="D114" s="46" t="str">
        <x:f>IFERROR(XLOOKUP(C114,'Animals'!$A$5:$A$104,'Animals'!$C$5:$C$104,""),"")</x:f>
      </x:c>
      <x:c r="E114" s="46" t="str">
        <x:f>IFERROR(XLOOKUP(C114,'Animals'!$A$5:$A$104,'Animals'!$H$5:$H$104,""),"")</x:f>
      </x:c>
      <x:c r="F114" s="71"/>
      <x:c r="G114" s="71"/>
      <x:c r="H114" s="71"/>
      <x:c r="I114" s="71"/>
      <x:c r="J114" s="71"/>
      <x:c r="K114" s="46"/>
      <x:c r="L114" s="46"/>
      <x:c r="M114" s="46"/>
      <x:c r="N114" s="46"/>
      <x:c r="O114" s="46"/>
      <x:c r="P114" s="46"/>
      <x:c r="Q114" s="47" t="str">
        <x:f>IF(C114="","",IF(OR(J114&gt;IFERROR(INDEX('Normal Parameters'!$G$5:$G$104,MATCH(1,('Normal Parameters'!$A$5:$A$104=D114)*('Normal Parameters'!$B$5:$B$104=E114)*('Normal Parameters'!$C$5:$C$104="Behavior Score"),0)),99),F114&lt;IFERROR(INDEX('Normal Parameters'!$E$5:$E$104,MATCH(1,('Normal Parameters'!$A$5:$A$104=D114)*('Normal Parameters'!$B$5:$B$104=E114)*('Normal Parameters'!$C$5:$C$104="Weight"),0)),0),F114&gt;IFERROR(INDEX('Normal Parameters'!$G$5:$G$104,MATCH(1,('Normal Parameters'!$A$5:$A$104=D114)*('Normal Parameters'!$B$5:$B$104=E114)*('Normal Parameters'!$C$5:$C$104="Weight"),0)),9999),I114&lt;IFERROR(INDEX('Normal Parameters'!$E$5:$E$104,MATCH(1,('Normal Parameters'!$A$5:$A$104=D114)*('Normal Parameters'!$B$5:$B$104=E114)*('Normal Parameters'!$C$5:$C$104="Temperature"),0)),0),I114&gt;IFERROR(INDEX('Normal Parameters'!$G$5:$G$104,MATCH(1,('Normal Parameters'!$A$5:$A$104=D114)*('Normal Parameters'!$B$5:$B$104=E114)*('Normal Parameters'!$C$5:$C$104="Temperature"),0)),9999)),"Check","Normal"))</x:f>
      </x:c>
    </x:row>
    <x:row r="115" ht="15" hidden="0" customHeight="1">
      <x:c r="A115" s="74"/>
      <x:c r="B115" s="46"/>
      <x:c r="C115" s="46"/>
      <x:c r="D115" s="46" t="str">
        <x:f>IFERROR(XLOOKUP(C115,'Animals'!$A$5:$A$104,'Animals'!$C$5:$C$104,""),"")</x:f>
      </x:c>
      <x:c r="E115" s="46" t="str">
        <x:f>IFERROR(XLOOKUP(C115,'Animals'!$A$5:$A$104,'Animals'!$H$5:$H$104,""),"")</x:f>
      </x:c>
      <x:c r="F115" s="71"/>
      <x:c r="G115" s="71"/>
      <x:c r="H115" s="71"/>
      <x:c r="I115" s="71"/>
      <x:c r="J115" s="71"/>
      <x:c r="K115" s="46"/>
      <x:c r="L115" s="46"/>
      <x:c r="M115" s="46"/>
      <x:c r="N115" s="46"/>
      <x:c r="O115" s="46"/>
      <x:c r="P115" s="46"/>
      <x:c r="Q115" s="47" t="str">
        <x:f>IF(C115="","",IF(OR(J115&gt;IFERROR(INDEX('Normal Parameters'!$G$5:$G$104,MATCH(1,('Normal Parameters'!$A$5:$A$104=D115)*('Normal Parameters'!$B$5:$B$104=E115)*('Normal Parameters'!$C$5:$C$104="Behavior Score"),0)),99),F115&lt;IFERROR(INDEX('Normal Parameters'!$E$5:$E$104,MATCH(1,('Normal Parameters'!$A$5:$A$104=D115)*('Normal Parameters'!$B$5:$B$104=E115)*('Normal Parameters'!$C$5:$C$104="Weight"),0)),0),F115&gt;IFERROR(INDEX('Normal Parameters'!$G$5:$G$104,MATCH(1,('Normal Parameters'!$A$5:$A$104=D115)*('Normal Parameters'!$B$5:$B$104=E115)*('Normal Parameters'!$C$5:$C$104="Weight"),0)),9999),I115&lt;IFERROR(INDEX('Normal Parameters'!$E$5:$E$104,MATCH(1,('Normal Parameters'!$A$5:$A$104=D115)*('Normal Parameters'!$B$5:$B$104=E115)*('Normal Parameters'!$C$5:$C$104="Temperature"),0)),0),I115&gt;IFERROR(INDEX('Normal Parameters'!$G$5:$G$104,MATCH(1,('Normal Parameters'!$A$5:$A$104=D115)*('Normal Parameters'!$B$5:$B$104=E115)*('Normal Parameters'!$C$5:$C$104="Temperature"),0)),9999)),"Check","Normal"))</x:f>
      </x:c>
    </x:row>
    <x:row r="116" ht="15" hidden="0" customHeight="1">
      <x:c r="A116" s="74"/>
      <x:c r="B116" s="46"/>
      <x:c r="C116" s="46"/>
      <x:c r="D116" s="46" t="str">
        <x:f>IFERROR(XLOOKUP(C116,'Animals'!$A$5:$A$104,'Animals'!$C$5:$C$104,""),"")</x:f>
      </x:c>
      <x:c r="E116" s="46" t="str">
        <x:f>IFERROR(XLOOKUP(C116,'Animals'!$A$5:$A$104,'Animals'!$H$5:$H$104,""),"")</x:f>
      </x:c>
      <x:c r="F116" s="71"/>
      <x:c r="G116" s="71"/>
      <x:c r="H116" s="71"/>
      <x:c r="I116" s="71"/>
      <x:c r="J116" s="71"/>
      <x:c r="K116" s="46"/>
      <x:c r="L116" s="46"/>
      <x:c r="M116" s="46"/>
      <x:c r="N116" s="46"/>
      <x:c r="O116" s="46"/>
      <x:c r="P116" s="46"/>
      <x:c r="Q116" s="47" t="str">
        <x:f>IF(C116="","",IF(OR(J116&gt;IFERROR(INDEX('Normal Parameters'!$G$5:$G$104,MATCH(1,('Normal Parameters'!$A$5:$A$104=D116)*('Normal Parameters'!$B$5:$B$104=E116)*('Normal Parameters'!$C$5:$C$104="Behavior Score"),0)),99),F116&lt;IFERROR(INDEX('Normal Parameters'!$E$5:$E$104,MATCH(1,('Normal Parameters'!$A$5:$A$104=D116)*('Normal Parameters'!$B$5:$B$104=E116)*('Normal Parameters'!$C$5:$C$104="Weight"),0)),0),F116&gt;IFERROR(INDEX('Normal Parameters'!$G$5:$G$104,MATCH(1,('Normal Parameters'!$A$5:$A$104=D116)*('Normal Parameters'!$B$5:$B$104=E116)*('Normal Parameters'!$C$5:$C$104="Weight"),0)),9999),I116&lt;IFERROR(INDEX('Normal Parameters'!$E$5:$E$104,MATCH(1,('Normal Parameters'!$A$5:$A$104=D116)*('Normal Parameters'!$B$5:$B$104=E116)*('Normal Parameters'!$C$5:$C$104="Temperature"),0)),0),I116&gt;IFERROR(INDEX('Normal Parameters'!$G$5:$G$104,MATCH(1,('Normal Parameters'!$A$5:$A$104=D116)*('Normal Parameters'!$B$5:$B$104=E116)*('Normal Parameters'!$C$5:$C$104="Temperature"),0)),9999)),"Check","Normal"))</x:f>
      </x:c>
    </x:row>
    <x:row r="117" ht="15" hidden="0" customHeight="1">
      <x:c r="A117" s="74"/>
      <x:c r="B117" s="46"/>
      <x:c r="C117" s="46"/>
      <x:c r="D117" s="46" t="str">
        <x:f>IFERROR(XLOOKUP(C117,'Animals'!$A$5:$A$104,'Animals'!$C$5:$C$104,""),"")</x:f>
      </x:c>
      <x:c r="E117" s="46" t="str">
        <x:f>IFERROR(XLOOKUP(C117,'Animals'!$A$5:$A$104,'Animals'!$H$5:$H$104,""),"")</x:f>
      </x:c>
      <x:c r="F117" s="71"/>
      <x:c r="G117" s="71"/>
      <x:c r="H117" s="71"/>
      <x:c r="I117" s="71"/>
      <x:c r="J117" s="71"/>
      <x:c r="K117" s="46"/>
      <x:c r="L117" s="46"/>
      <x:c r="M117" s="46"/>
      <x:c r="N117" s="46"/>
      <x:c r="O117" s="46"/>
      <x:c r="P117" s="46"/>
      <x:c r="Q117" s="47" t="str">
        <x:f>IF(C117="","",IF(OR(J117&gt;IFERROR(INDEX('Normal Parameters'!$G$5:$G$104,MATCH(1,('Normal Parameters'!$A$5:$A$104=D117)*('Normal Parameters'!$B$5:$B$104=E117)*('Normal Parameters'!$C$5:$C$104="Behavior Score"),0)),99),F117&lt;IFERROR(INDEX('Normal Parameters'!$E$5:$E$104,MATCH(1,('Normal Parameters'!$A$5:$A$104=D117)*('Normal Parameters'!$B$5:$B$104=E117)*('Normal Parameters'!$C$5:$C$104="Weight"),0)),0),F117&gt;IFERROR(INDEX('Normal Parameters'!$G$5:$G$104,MATCH(1,('Normal Parameters'!$A$5:$A$104=D117)*('Normal Parameters'!$B$5:$B$104=E117)*('Normal Parameters'!$C$5:$C$104="Weight"),0)),9999),I117&lt;IFERROR(INDEX('Normal Parameters'!$E$5:$E$104,MATCH(1,('Normal Parameters'!$A$5:$A$104=D117)*('Normal Parameters'!$B$5:$B$104=E117)*('Normal Parameters'!$C$5:$C$104="Temperature"),0)),0),I117&gt;IFERROR(INDEX('Normal Parameters'!$G$5:$G$104,MATCH(1,('Normal Parameters'!$A$5:$A$104=D117)*('Normal Parameters'!$B$5:$B$104=E117)*('Normal Parameters'!$C$5:$C$104="Temperature"),0)),9999)),"Check","Normal"))</x:f>
      </x:c>
    </x:row>
    <x:row r="118" ht="15" hidden="0" customHeight="1">
      <x:c r="A118" s="74"/>
      <x:c r="B118" s="46"/>
      <x:c r="C118" s="46"/>
      <x:c r="D118" s="46" t="str">
        <x:f>IFERROR(XLOOKUP(C118,'Animals'!$A$5:$A$104,'Animals'!$C$5:$C$104,""),"")</x:f>
      </x:c>
      <x:c r="E118" s="46" t="str">
        <x:f>IFERROR(XLOOKUP(C118,'Animals'!$A$5:$A$104,'Animals'!$H$5:$H$104,""),"")</x:f>
      </x:c>
      <x:c r="F118" s="71"/>
      <x:c r="G118" s="71"/>
      <x:c r="H118" s="71"/>
      <x:c r="I118" s="71"/>
      <x:c r="J118" s="71"/>
      <x:c r="K118" s="46"/>
      <x:c r="L118" s="46"/>
      <x:c r="M118" s="46"/>
      <x:c r="N118" s="46"/>
      <x:c r="O118" s="46"/>
      <x:c r="P118" s="46"/>
      <x:c r="Q118" s="47" t="str">
        <x:f>IF(C118="","",IF(OR(J118&gt;IFERROR(INDEX('Normal Parameters'!$G$5:$G$104,MATCH(1,('Normal Parameters'!$A$5:$A$104=D118)*('Normal Parameters'!$B$5:$B$104=E118)*('Normal Parameters'!$C$5:$C$104="Behavior Score"),0)),99),F118&lt;IFERROR(INDEX('Normal Parameters'!$E$5:$E$104,MATCH(1,('Normal Parameters'!$A$5:$A$104=D118)*('Normal Parameters'!$B$5:$B$104=E118)*('Normal Parameters'!$C$5:$C$104="Weight"),0)),0),F118&gt;IFERROR(INDEX('Normal Parameters'!$G$5:$G$104,MATCH(1,('Normal Parameters'!$A$5:$A$104=D118)*('Normal Parameters'!$B$5:$B$104=E118)*('Normal Parameters'!$C$5:$C$104="Weight"),0)),9999),I118&lt;IFERROR(INDEX('Normal Parameters'!$E$5:$E$104,MATCH(1,('Normal Parameters'!$A$5:$A$104=D118)*('Normal Parameters'!$B$5:$B$104=E118)*('Normal Parameters'!$C$5:$C$104="Temperature"),0)),0),I118&gt;IFERROR(INDEX('Normal Parameters'!$G$5:$G$104,MATCH(1,('Normal Parameters'!$A$5:$A$104=D118)*('Normal Parameters'!$B$5:$B$104=E118)*('Normal Parameters'!$C$5:$C$104="Temperature"),0)),9999)),"Check","Normal"))</x:f>
      </x:c>
    </x:row>
    <x:row r="119" ht="15" hidden="0" customHeight="1">
      <x:c r="A119" s="74"/>
      <x:c r="B119" s="46"/>
      <x:c r="C119" s="46"/>
      <x:c r="D119" s="46" t="str">
        <x:f>IFERROR(XLOOKUP(C119,'Animals'!$A$5:$A$104,'Animals'!$C$5:$C$104,""),"")</x:f>
      </x:c>
      <x:c r="E119" s="46" t="str">
        <x:f>IFERROR(XLOOKUP(C119,'Animals'!$A$5:$A$104,'Animals'!$H$5:$H$104,""),"")</x:f>
      </x:c>
      <x:c r="F119" s="71"/>
      <x:c r="G119" s="71"/>
      <x:c r="H119" s="71"/>
      <x:c r="I119" s="71"/>
      <x:c r="J119" s="71"/>
      <x:c r="K119" s="46"/>
      <x:c r="L119" s="46"/>
      <x:c r="M119" s="46"/>
      <x:c r="N119" s="46"/>
      <x:c r="O119" s="46"/>
      <x:c r="P119" s="46"/>
      <x:c r="Q119" s="47" t="str">
        <x:f>IF(C119="","",IF(OR(J119&gt;IFERROR(INDEX('Normal Parameters'!$G$5:$G$104,MATCH(1,('Normal Parameters'!$A$5:$A$104=D119)*('Normal Parameters'!$B$5:$B$104=E119)*('Normal Parameters'!$C$5:$C$104="Behavior Score"),0)),99),F119&lt;IFERROR(INDEX('Normal Parameters'!$E$5:$E$104,MATCH(1,('Normal Parameters'!$A$5:$A$104=D119)*('Normal Parameters'!$B$5:$B$104=E119)*('Normal Parameters'!$C$5:$C$104="Weight"),0)),0),F119&gt;IFERROR(INDEX('Normal Parameters'!$G$5:$G$104,MATCH(1,('Normal Parameters'!$A$5:$A$104=D119)*('Normal Parameters'!$B$5:$B$104=E119)*('Normal Parameters'!$C$5:$C$104="Weight"),0)),9999),I119&lt;IFERROR(INDEX('Normal Parameters'!$E$5:$E$104,MATCH(1,('Normal Parameters'!$A$5:$A$104=D119)*('Normal Parameters'!$B$5:$B$104=E119)*('Normal Parameters'!$C$5:$C$104="Temperature"),0)),0),I119&gt;IFERROR(INDEX('Normal Parameters'!$G$5:$G$104,MATCH(1,('Normal Parameters'!$A$5:$A$104=D119)*('Normal Parameters'!$B$5:$B$104=E119)*('Normal Parameters'!$C$5:$C$104="Temperature"),0)),9999)),"Check","Normal"))</x:f>
      </x:c>
    </x:row>
    <x:row r="120" ht="15" hidden="0" customHeight="1">
      <x:c r="A120" s="74"/>
      <x:c r="B120" s="46"/>
      <x:c r="C120" s="46"/>
      <x:c r="D120" s="46" t="str">
        <x:f>IFERROR(XLOOKUP(C120,'Animals'!$A$5:$A$104,'Animals'!$C$5:$C$104,""),"")</x:f>
      </x:c>
      <x:c r="E120" s="46" t="str">
        <x:f>IFERROR(XLOOKUP(C120,'Animals'!$A$5:$A$104,'Animals'!$H$5:$H$104,""),"")</x:f>
      </x:c>
      <x:c r="F120" s="71"/>
      <x:c r="G120" s="71"/>
      <x:c r="H120" s="71"/>
      <x:c r="I120" s="71"/>
      <x:c r="J120" s="71"/>
      <x:c r="K120" s="46"/>
      <x:c r="L120" s="46"/>
      <x:c r="M120" s="46"/>
      <x:c r="N120" s="46"/>
      <x:c r="O120" s="46"/>
      <x:c r="P120" s="46"/>
      <x:c r="Q120" s="47" t="str">
        <x:f>IF(C120="","",IF(OR(J120&gt;IFERROR(INDEX('Normal Parameters'!$G$5:$G$104,MATCH(1,('Normal Parameters'!$A$5:$A$104=D120)*('Normal Parameters'!$B$5:$B$104=E120)*('Normal Parameters'!$C$5:$C$104="Behavior Score"),0)),99),F120&lt;IFERROR(INDEX('Normal Parameters'!$E$5:$E$104,MATCH(1,('Normal Parameters'!$A$5:$A$104=D120)*('Normal Parameters'!$B$5:$B$104=E120)*('Normal Parameters'!$C$5:$C$104="Weight"),0)),0),F120&gt;IFERROR(INDEX('Normal Parameters'!$G$5:$G$104,MATCH(1,('Normal Parameters'!$A$5:$A$104=D120)*('Normal Parameters'!$B$5:$B$104=E120)*('Normal Parameters'!$C$5:$C$104="Weight"),0)),9999),I120&lt;IFERROR(INDEX('Normal Parameters'!$E$5:$E$104,MATCH(1,('Normal Parameters'!$A$5:$A$104=D120)*('Normal Parameters'!$B$5:$B$104=E120)*('Normal Parameters'!$C$5:$C$104="Temperature"),0)),0),I120&gt;IFERROR(INDEX('Normal Parameters'!$G$5:$G$104,MATCH(1,('Normal Parameters'!$A$5:$A$104=D120)*('Normal Parameters'!$B$5:$B$104=E120)*('Normal Parameters'!$C$5:$C$104="Temperature"),0)),9999)),"Check","Normal"))</x:f>
      </x:c>
    </x:row>
    <x:row r="121" ht="15" hidden="0" customHeight="1">
      <x:c r="A121" s="74"/>
      <x:c r="B121" s="46"/>
      <x:c r="C121" s="46"/>
      <x:c r="D121" s="46" t="str">
        <x:f>IFERROR(XLOOKUP(C121,'Animals'!$A$5:$A$104,'Animals'!$C$5:$C$104,""),"")</x:f>
      </x:c>
      <x:c r="E121" s="46" t="str">
        <x:f>IFERROR(XLOOKUP(C121,'Animals'!$A$5:$A$104,'Animals'!$H$5:$H$104,""),"")</x:f>
      </x:c>
      <x:c r="F121" s="71"/>
      <x:c r="G121" s="71"/>
      <x:c r="H121" s="71"/>
      <x:c r="I121" s="71"/>
      <x:c r="J121" s="71"/>
      <x:c r="K121" s="46"/>
      <x:c r="L121" s="46"/>
      <x:c r="M121" s="46"/>
      <x:c r="N121" s="46"/>
      <x:c r="O121" s="46"/>
      <x:c r="P121" s="46"/>
      <x:c r="Q121" s="47" t="str">
        <x:f>IF(C121="","",IF(OR(J121&gt;IFERROR(INDEX('Normal Parameters'!$G$5:$G$104,MATCH(1,('Normal Parameters'!$A$5:$A$104=D121)*('Normal Parameters'!$B$5:$B$104=E121)*('Normal Parameters'!$C$5:$C$104="Behavior Score"),0)),99),F121&lt;IFERROR(INDEX('Normal Parameters'!$E$5:$E$104,MATCH(1,('Normal Parameters'!$A$5:$A$104=D121)*('Normal Parameters'!$B$5:$B$104=E121)*('Normal Parameters'!$C$5:$C$104="Weight"),0)),0),F121&gt;IFERROR(INDEX('Normal Parameters'!$G$5:$G$104,MATCH(1,('Normal Parameters'!$A$5:$A$104=D121)*('Normal Parameters'!$B$5:$B$104=E121)*('Normal Parameters'!$C$5:$C$104="Weight"),0)),9999),I121&lt;IFERROR(INDEX('Normal Parameters'!$E$5:$E$104,MATCH(1,('Normal Parameters'!$A$5:$A$104=D121)*('Normal Parameters'!$B$5:$B$104=E121)*('Normal Parameters'!$C$5:$C$104="Temperature"),0)),0),I121&gt;IFERROR(INDEX('Normal Parameters'!$G$5:$G$104,MATCH(1,('Normal Parameters'!$A$5:$A$104=D121)*('Normal Parameters'!$B$5:$B$104=E121)*('Normal Parameters'!$C$5:$C$104="Temperature"),0)),9999)),"Check","Normal"))</x:f>
      </x:c>
    </x:row>
    <x:row r="122" ht="15" hidden="0" customHeight="1">
      <x:c r="A122" s="74"/>
      <x:c r="B122" s="46"/>
      <x:c r="C122" s="46"/>
      <x:c r="D122" s="46" t="str">
        <x:f>IFERROR(XLOOKUP(C122,'Animals'!$A$5:$A$104,'Animals'!$C$5:$C$104,""),"")</x:f>
      </x:c>
      <x:c r="E122" s="46" t="str">
        <x:f>IFERROR(XLOOKUP(C122,'Animals'!$A$5:$A$104,'Animals'!$H$5:$H$104,""),"")</x:f>
      </x:c>
      <x:c r="F122" s="71"/>
      <x:c r="G122" s="71"/>
      <x:c r="H122" s="71"/>
      <x:c r="I122" s="71"/>
      <x:c r="J122" s="71"/>
      <x:c r="K122" s="46"/>
      <x:c r="L122" s="46"/>
      <x:c r="M122" s="46"/>
      <x:c r="N122" s="46"/>
      <x:c r="O122" s="46"/>
      <x:c r="P122" s="46"/>
      <x:c r="Q122" s="47" t="str">
        <x:f>IF(C122="","",IF(OR(J122&gt;IFERROR(INDEX('Normal Parameters'!$G$5:$G$104,MATCH(1,('Normal Parameters'!$A$5:$A$104=D122)*('Normal Parameters'!$B$5:$B$104=E122)*('Normal Parameters'!$C$5:$C$104="Behavior Score"),0)),99),F122&lt;IFERROR(INDEX('Normal Parameters'!$E$5:$E$104,MATCH(1,('Normal Parameters'!$A$5:$A$104=D122)*('Normal Parameters'!$B$5:$B$104=E122)*('Normal Parameters'!$C$5:$C$104="Weight"),0)),0),F122&gt;IFERROR(INDEX('Normal Parameters'!$G$5:$G$104,MATCH(1,('Normal Parameters'!$A$5:$A$104=D122)*('Normal Parameters'!$B$5:$B$104=E122)*('Normal Parameters'!$C$5:$C$104="Weight"),0)),9999),I122&lt;IFERROR(INDEX('Normal Parameters'!$E$5:$E$104,MATCH(1,('Normal Parameters'!$A$5:$A$104=D122)*('Normal Parameters'!$B$5:$B$104=E122)*('Normal Parameters'!$C$5:$C$104="Temperature"),0)),0),I122&gt;IFERROR(INDEX('Normal Parameters'!$G$5:$G$104,MATCH(1,('Normal Parameters'!$A$5:$A$104=D122)*('Normal Parameters'!$B$5:$B$104=E122)*('Normal Parameters'!$C$5:$C$104="Temperature"),0)),9999)),"Check","Normal"))</x:f>
      </x:c>
    </x:row>
    <x:row r="123" ht="15" hidden="0" customHeight="1">
      <x:c r="A123" s="74"/>
      <x:c r="B123" s="46"/>
      <x:c r="C123" s="46"/>
      <x:c r="D123" s="46" t="str">
        <x:f>IFERROR(XLOOKUP(C123,'Animals'!$A$5:$A$104,'Animals'!$C$5:$C$104,""),"")</x:f>
      </x:c>
      <x:c r="E123" s="46" t="str">
        <x:f>IFERROR(XLOOKUP(C123,'Animals'!$A$5:$A$104,'Animals'!$H$5:$H$104,""),"")</x:f>
      </x:c>
      <x:c r="F123" s="71"/>
      <x:c r="G123" s="71"/>
      <x:c r="H123" s="71"/>
      <x:c r="I123" s="71"/>
      <x:c r="J123" s="71"/>
      <x:c r="K123" s="46"/>
      <x:c r="L123" s="46"/>
      <x:c r="M123" s="46"/>
      <x:c r="N123" s="46"/>
      <x:c r="O123" s="46"/>
      <x:c r="P123" s="46"/>
      <x:c r="Q123" s="47" t="str">
        <x:f>IF(C123="","",IF(OR(J123&gt;IFERROR(INDEX('Normal Parameters'!$G$5:$G$104,MATCH(1,('Normal Parameters'!$A$5:$A$104=D123)*('Normal Parameters'!$B$5:$B$104=E123)*('Normal Parameters'!$C$5:$C$104="Behavior Score"),0)),99),F123&lt;IFERROR(INDEX('Normal Parameters'!$E$5:$E$104,MATCH(1,('Normal Parameters'!$A$5:$A$104=D123)*('Normal Parameters'!$B$5:$B$104=E123)*('Normal Parameters'!$C$5:$C$104="Weight"),0)),0),F123&gt;IFERROR(INDEX('Normal Parameters'!$G$5:$G$104,MATCH(1,('Normal Parameters'!$A$5:$A$104=D123)*('Normal Parameters'!$B$5:$B$104=E123)*('Normal Parameters'!$C$5:$C$104="Weight"),0)),9999),I123&lt;IFERROR(INDEX('Normal Parameters'!$E$5:$E$104,MATCH(1,('Normal Parameters'!$A$5:$A$104=D123)*('Normal Parameters'!$B$5:$B$104=E123)*('Normal Parameters'!$C$5:$C$104="Temperature"),0)),0),I123&gt;IFERROR(INDEX('Normal Parameters'!$G$5:$G$104,MATCH(1,('Normal Parameters'!$A$5:$A$104=D123)*('Normal Parameters'!$B$5:$B$104=E123)*('Normal Parameters'!$C$5:$C$104="Temperature"),0)),9999)),"Check","Normal"))</x:f>
      </x:c>
    </x:row>
    <x:row r="124" ht="15" hidden="0" customHeight="1">
      <x:c r="A124" s="74"/>
      <x:c r="B124" s="46"/>
      <x:c r="C124" s="46"/>
      <x:c r="D124" s="46" t="str">
        <x:f>IFERROR(XLOOKUP(C124,'Animals'!$A$5:$A$104,'Animals'!$C$5:$C$104,""),"")</x:f>
      </x:c>
      <x:c r="E124" s="46" t="str">
        <x:f>IFERROR(XLOOKUP(C124,'Animals'!$A$5:$A$104,'Animals'!$H$5:$H$104,""),"")</x:f>
      </x:c>
      <x:c r="F124" s="71"/>
      <x:c r="G124" s="71"/>
      <x:c r="H124" s="71"/>
      <x:c r="I124" s="71"/>
      <x:c r="J124" s="71"/>
      <x:c r="K124" s="46"/>
      <x:c r="L124" s="46"/>
      <x:c r="M124" s="46"/>
      <x:c r="N124" s="46"/>
      <x:c r="O124" s="46"/>
      <x:c r="P124" s="46"/>
      <x:c r="Q124" s="47" t="str">
        <x:f>IF(C124="","",IF(OR(J124&gt;IFERROR(INDEX('Normal Parameters'!$G$5:$G$104,MATCH(1,('Normal Parameters'!$A$5:$A$104=D124)*('Normal Parameters'!$B$5:$B$104=E124)*('Normal Parameters'!$C$5:$C$104="Behavior Score"),0)),99),F124&lt;IFERROR(INDEX('Normal Parameters'!$E$5:$E$104,MATCH(1,('Normal Parameters'!$A$5:$A$104=D124)*('Normal Parameters'!$B$5:$B$104=E124)*('Normal Parameters'!$C$5:$C$104="Weight"),0)),0),F124&gt;IFERROR(INDEX('Normal Parameters'!$G$5:$G$104,MATCH(1,('Normal Parameters'!$A$5:$A$104=D124)*('Normal Parameters'!$B$5:$B$104=E124)*('Normal Parameters'!$C$5:$C$104="Weight"),0)),9999),I124&lt;IFERROR(INDEX('Normal Parameters'!$E$5:$E$104,MATCH(1,('Normal Parameters'!$A$5:$A$104=D124)*('Normal Parameters'!$B$5:$B$104=E124)*('Normal Parameters'!$C$5:$C$104="Temperature"),0)),0),I124&gt;IFERROR(INDEX('Normal Parameters'!$G$5:$G$104,MATCH(1,('Normal Parameters'!$A$5:$A$104=D124)*('Normal Parameters'!$B$5:$B$104=E124)*('Normal Parameters'!$C$5:$C$104="Temperature"),0)),9999)),"Check","Normal"))</x:f>
      </x:c>
    </x:row>
    <x:row r="125" ht="15" hidden="0" customHeight="1">
      <x:c r="A125" s="74"/>
      <x:c r="B125" s="46"/>
      <x:c r="C125" s="46"/>
      <x:c r="D125" s="46" t="str">
        <x:f>IFERROR(XLOOKUP(C125,'Animals'!$A$5:$A$104,'Animals'!$C$5:$C$104,""),"")</x:f>
      </x:c>
      <x:c r="E125" s="46" t="str">
        <x:f>IFERROR(XLOOKUP(C125,'Animals'!$A$5:$A$104,'Animals'!$H$5:$H$104,""),"")</x:f>
      </x:c>
      <x:c r="F125" s="71"/>
      <x:c r="G125" s="71"/>
      <x:c r="H125" s="71"/>
      <x:c r="I125" s="71"/>
      <x:c r="J125" s="71"/>
      <x:c r="K125" s="46"/>
      <x:c r="L125" s="46"/>
      <x:c r="M125" s="46"/>
      <x:c r="N125" s="46"/>
      <x:c r="O125" s="46"/>
      <x:c r="P125" s="46"/>
      <x:c r="Q125" s="47" t="str">
        <x:f>IF(C125="","",IF(OR(J125&gt;IFERROR(INDEX('Normal Parameters'!$G$5:$G$104,MATCH(1,('Normal Parameters'!$A$5:$A$104=D125)*('Normal Parameters'!$B$5:$B$104=E125)*('Normal Parameters'!$C$5:$C$104="Behavior Score"),0)),99),F125&lt;IFERROR(INDEX('Normal Parameters'!$E$5:$E$104,MATCH(1,('Normal Parameters'!$A$5:$A$104=D125)*('Normal Parameters'!$B$5:$B$104=E125)*('Normal Parameters'!$C$5:$C$104="Weight"),0)),0),F125&gt;IFERROR(INDEX('Normal Parameters'!$G$5:$G$104,MATCH(1,('Normal Parameters'!$A$5:$A$104=D125)*('Normal Parameters'!$B$5:$B$104=E125)*('Normal Parameters'!$C$5:$C$104="Weight"),0)),9999),I125&lt;IFERROR(INDEX('Normal Parameters'!$E$5:$E$104,MATCH(1,('Normal Parameters'!$A$5:$A$104=D125)*('Normal Parameters'!$B$5:$B$104=E125)*('Normal Parameters'!$C$5:$C$104="Temperature"),0)),0),I125&gt;IFERROR(INDEX('Normal Parameters'!$G$5:$G$104,MATCH(1,('Normal Parameters'!$A$5:$A$104=D125)*('Normal Parameters'!$B$5:$B$104=E125)*('Normal Parameters'!$C$5:$C$104="Temperature"),0)),9999)),"Check","Normal"))</x:f>
      </x:c>
    </x:row>
    <x:row r="126" ht="15" hidden="0" customHeight="1">
      <x:c r="A126" s="74"/>
      <x:c r="B126" s="46"/>
      <x:c r="C126" s="46"/>
      <x:c r="D126" s="46" t="str">
        <x:f>IFERROR(XLOOKUP(C126,'Animals'!$A$5:$A$104,'Animals'!$C$5:$C$104,""),"")</x:f>
      </x:c>
      <x:c r="E126" s="46" t="str">
        <x:f>IFERROR(XLOOKUP(C126,'Animals'!$A$5:$A$104,'Animals'!$H$5:$H$104,""),"")</x:f>
      </x:c>
      <x:c r="F126" s="71"/>
      <x:c r="G126" s="71"/>
      <x:c r="H126" s="71"/>
      <x:c r="I126" s="71"/>
      <x:c r="J126" s="71"/>
      <x:c r="K126" s="46"/>
      <x:c r="L126" s="46"/>
      <x:c r="M126" s="46"/>
      <x:c r="N126" s="46"/>
      <x:c r="O126" s="46"/>
      <x:c r="P126" s="46"/>
      <x:c r="Q126" s="47" t="str">
        <x:f>IF(C126="","",IF(OR(J126&gt;IFERROR(INDEX('Normal Parameters'!$G$5:$G$104,MATCH(1,('Normal Parameters'!$A$5:$A$104=D126)*('Normal Parameters'!$B$5:$B$104=E126)*('Normal Parameters'!$C$5:$C$104="Behavior Score"),0)),99),F126&lt;IFERROR(INDEX('Normal Parameters'!$E$5:$E$104,MATCH(1,('Normal Parameters'!$A$5:$A$104=D126)*('Normal Parameters'!$B$5:$B$104=E126)*('Normal Parameters'!$C$5:$C$104="Weight"),0)),0),F126&gt;IFERROR(INDEX('Normal Parameters'!$G$5:$G$104,MATCH(1,('Normal Parameters'!$A$5:$A$104=D126)*('Normal Parameters'!$B$5:$B$104=E126)*('Normal Parameters'!$C$5:$C$104="Weight"),0)),9999),I126&lt;IFERROR(INDEX('Normal Parameters'!$E$5:$E$104,MATCH(1,('Normal Parameters'!$A$5:$A$104=D126)*('Normal Parameters'!$B$5:$B$104=E126)*('Normal Parameters'!$C$5:$C$104="Temperature"),0)),0),I126&gt;IFERROR(INDEX('Normal Parameters'!$G$5:$G$104,MATCH(1,('Normal Parameters'!$A$5:$A$104=D126)*('Normal Parameters'!$B$5:$B$104=E126)*('Normal Parameters'!$C$5:$C$104="Temperature"),0)),9999)),"Check","Normal"))</x:f>
      </x:c>
    </x:row>
    <x:row r="127" ht="15" hidden="0" customHeight="1">
      <x:c r="A127" s="74"/>
      <x:c r="B127" s="46"/>
      <x:c r="C127" s="46"/>
      <x:c r="D127" s="46" t="str">
        <x:f>IFERROR(XLOOKUP(C127,'Animals'!$A$5:$A$104,'Animals'!$C$5:$C$104,""),"")</x:f>
      </x:c>
      <x:c r="E127" s="46" t="str">
        <x:f>IFERROR(XLOOKUP(C127,'Animals'!$A$5:$A$104,'Animals'!$H$5:$H$104,""),"")</x:f>
      </x:c>
      <x:c r="F127" s="71"/>
      <x:c r="G127" s="71"/>
      <x:c r="H127" s="71"/>
      <x:c r="I127" s="71"/>
      <x:c r="J127" s="71"/>
      <x:c r="K127" s="46"/>
      <x:c r="L127" s="46"/>
      <x:c r="M127" s="46"/>
      <x:c r="N127" s="46"/>
      <x:c r="O127" s="46"/>
      <x:c r="P127" s="46"/>
      <x:c r="Q127" s="47" t="str">
        <x:f>IF(C127="","",IF(OR(J127&gt;IFERROR(INDEX('Normal Parameters'!$G$5:$G$104,MATCH(1,('Normal Parameters'!$A$5:$A$104=D127)*('Normal Parameters'!$B$5:$B$104=E127)*('Normal Parameters'!$C$5:$C$104="Behavior Score"),0)),99),F127&lt;IFERROR(INDEX('Normal Parameters'!$E$5:$E$104,MATCH(1,('Normal Parameters'!$A$5:$A$104=D127)*('Normal Parameters'!$B$5:$B$104=E127)*('Normal Parameters'!$C$5:$C$104="Weight"),0)),0),F127&gt;IFERROR(INDEX('Normal Parameters'!$G$5:$G$104,MATCH(1,('Normal Parameters'!$A$5:$A$104=D127)*('Normal Parameters'!$B$5:$B$104=E127)*('Normal Parameters'!$C$5:$C$104="Weight"),0)),9999),I127&lt;IFERROR(INDEX('Normal Parameters'!$E$5:$E$104,MATCH(1,('Normal Parameters'!$A$5:$A$104=D127)*('Normal Parameters'!$B$5:$B$104=E127)*('Normal Parameters'!$C$5:$C$104="Temperature"),0)),0),I127&gt;IFERROR(INDEX('Normal Parameters'!$G$5:$G$104,MATCH(1,('Normal Parameters'!$A$5:$A$104=D127)*('Normal Parameters'!$B$5:$B$104=E127)*('Normal Parameters'!$C$5:$C$104="Temperature"),0)),9999)),"Check","Normal"))</x:f>
      </x:c>
    </x:row>
    <x:row r="128" ht="15" hidden="0" customHeight="1">
      <x:c r="A128" s="74"/>
      <x:c r="B128" s="46"/>
      <x:c r="C128" s="46"/>
      <x:c r="D128" s="46" t="str">
        <x:f>IFERROR(XLOOKUP(C128,'Animals'!$A$5:$A$104,'Animals'!$C$5:$C$104,""),"")</x:f>
      </x:c>
      <x:c r="E128" s="46" t="str">
        <x:f>IFERROR(XLOOKUP(C128,'Animals'!$A$5:$A$104,'Animals'!$H$5:$H$104,""),"")</x:f>
      </x:c>
      <x:c r="F128" s="71"/>
      <x:c r="G128" s="71"/>
      <x:c r="H128" s="71"/>
      <x:c r="I128" s="71"/>
      <x:c r="J128" s="71"/>
      <x:c r="K128" s="46"/>
      <x:c r="L128" s="46"/>
      <x:c r="M128" s="46"/>
      <x:c r="N128" s="46"/>
      <x:c r="O128" s="46"/>
      <x:c r="P128" s="46"/>
      <x:c r="Q128" s="47" t="str">
        <x:f>IF(C128="","",IF(OR(J128&gt;IFERROR(INDEX('Normal Parameters'!$G$5:$G$104,MATCH(1,('Normal Parameters'!$A$5:$A$104=D128)*('Normal Parameters'!$B$5:$B$104=E128)*('Normal Parameters'!$C$5:$C$104="Behavior Score"),0)),99),F128&lt;IFERROR(INDEX('Normal Parameters'!$E$5:$E$104,MATCH(1,('Normal Parameters'!$A$5:$A$104=D128)*('Normal Parameters'!$B$5:$B$104=E128)*('Normal Parameters'!$C$5:$C$104="Weight"),0)),0),F128&gt;IFERROR(INDEX('Normal Parameters'!$G$5:$G$104,MATCH(1,('Normal Parameters'!$A$5:$A$104=D128)*('Normal Parameters'!$B$5:$B$104=E128)*('Normal Parameters'!$C$5:$C$104="Weight"),0)),9999),I128&lt;IFERROR(INDEX('Normal Parameters'!$E$5:$E$104,MATCH(1,('Normal Parameters'!$A$5:$A$104=D128)*('Normal Parameters'!$B$5:$B$104=E128)*('Normal Parameters'!$C$5:$C$104="Temperature"),0)),0),I128&gt;IFERROR(INDEX('Normal Parameters'!$G$5:$G$104,MATCH(1,('Normal Parameters'!$A$5:$A$104=D128)*('Normal Parameters'!$B$5:$B$104=E128)*('Normal Parameters'!$C$5:$C$104="Temperature"),0)),9999)),"Check","Normal"))</x:f>
      </x:c>
    </x:row>
    <x:row r="129" ht="15" hidden="0" customHeight="1">
      <x:c r="A129" s="74"/>
      <x:c r="B129" s="46"/>
      <x:c r="C129" s="46"/>
      <x:c r="D129" s="46" t="str">
        <x:f>IFERROR(XLOOKUP(C129,'Animals'!$A$5:$A$104,'Animals'!$C$5:$C$104,""),"")</x:f>
      </x:c>
      <x:c r="E129" s="46" t="str">
        <x:f>IFERROR(XLOOKUP(C129,'Animals'!$A$5:$A$104,'Animals'!$H$5:$H$104,""),"")</x:f>
      </x:c>
      <x:c r="F129" s="71"/>
      <x:c r="G129" s="71"/>
      <x:c r="H129" s="71"/>
      <x:c r="I129" s="71"/>
      <x:c r="J129" s="71"/>
      <x:c r="K129" s="46"/>
      <x:c r="L129" s="46"/>
      <x:c r="M129" s="46"/>
      <x:c r="N129" s="46"/>
      <x:c r="O129" s="46"/>
      <x:c r="P129" s="46"/>
      <x:c r="Q129" s="47" t="str">
        <x:f>IF(C129="","",IF(OR(J129&gt;IFERROR(INDEX('Normal Parameters'!$G$5:$G$104,MATCH(1,('Normal Parameters'!$A$5:$A$104=D129)*('Normal Parameters'!$B$5:$B$104=E129)*('Normal Parameters'!$C$5:$C$104="Behavior Score"),0)),99),F129&lt;IFERROR(INDEX('Normal Parameters'!$E$5:$E$104,MATCH(1,('Normal Parameters'!$A$5:$A$104=D129)*('Normal Parameters'!$B$5:$B$104=E129)*('Normal Parameters'!$C$5:$C$104="Weight"),0)),0),F129&gt;IFERROR(INDEX('Normal Parameters'!$G$5:$G$104,MATCH(1,('Normal Parameters'!$A$5:$A$104=D129)*('Normal Parameters'!$B$5:$B$104=E129)*('Normal Parameters'!$C$5:$C$104="Weight"),0)),9999),I129&lt;IFERROR(INDEX('Normal Parameters'!$E$5:$E$104,MATCH(1,('Normal Parameters'!$A$5:$A$104=D129)*('Normal Parameters'!$B$5:$B$104=E129)*('Normal Parameters'!$C$5:$C$104="Temperature"),0)),0),I129&gt;IFERROR(INDEX('Normal Parameters'!$G$5:$G$104,MATCH(1,('Normal Parameters'!$A$5:$A$104=D129)*('Normal Parameters'!$B$5:$B$104=E129)*('Normal Parameters'!$C$5:$C$104="Temperature"),0)),9999)),"Check","Normal"))</x:f>
      </x:c>
    </x:row>
    <x:row r="130" ht="15" hidden="0" customHeight="1">
      <x:c r="A130" s="74"/>
      <x:c r="B130" s="46"/>
      <x:c r="C130" s="46"/>
      <x:c r="D130" s="46" t="str">
        <x:f>IFERROR(XLOOKUP(C130,'Animals'!$A$5:$A$104,'Animals'!$C$5:$C$104,""),"")</x:f>
      </x:c>
      <x:c r="E130" s="46" t="str">
        <x:f>IFERROR(XLOOKUP(C130,'Animals'!$A$5:$A$104,'Animals'!$H$5:$H$104,""),"")</x:f>
      </x:c>
      <x:c r="F130" s="71"/>
      <x:c r="G130" s="71"/>
      <x:c r="H130" s="71"/>
      <x:c r="I130" s="71"/>
      <x:c r="J130" s="71"/>
      <x:c r="K130" s="46"/>
      <x:c r="L130" s="46"/>
      <x:c r="M130" s="46"/>
      <x:c r="N130" s="46"/>
      <x:c r="O130" s="46"/>
      <x:c r="P130" s="46"/>
      <x:c r="Q130" s="47" t="str">
        <x:f>IF(C130="","",IF(OR(J130&gt;IFERROR(INDEX('Normal Parameters'!$G$5:$G$104,MATCH(1,('Normal Parameters'!$A$5:$A$104=D130)*('Normal Parameters'!$B$5:$B$104=E130)*('Normal Parameters'!$C$5:$C$104="Behavior Score"),0)),99),F130&lt;IFERROR(INDEX('Normal Parameters'!$E$5:$E$104,MATCH(1,('Normal Parameters'!$A$5:$A$104=D130)*('Normal Parameters'!$B$5:$B$104=E130)*('Normal Parameters'!$C$5:$C$104="Weight"),0)),0),F130&gt;IFERROR(INDEX('Normal Parameters'!$G$5:$G$104,MATCH(1,('Normal Parameters'!$A$5:$A$104=D130)*('Normal Parameters'!$B$5:$B$104=E130)*('Normal Parameters'!$C$5:$C$104="Weight"),0)),9999),I130&lt;IFERROR(INDEX('Normal Parameters'!$E$5:$E$104,MATCH(1,('Normal Parameters'!$A$5:$A$104=D130)*('Normal Parameters'!$B$5:$B$104=E130)*('Normal Parameters'!$C$5:$C$104="Temperature"),0)),0),I130&gt;IFERROR(INDEX('Normal Parameters'!$G$5:$G$104,MATCH(1,('Normal Parameters'!$A$5:$A$104=D130)*('Normal Parameters'!$B$5:$B$104=E130)*('Normal Parameters'!$C$5:$C$104="Temperature"),0)),9999)),"Check","Normal"))</x:f>
      </x:c>
    </x:row>
    <x:row r="131" ht="15" hidden="0" customHeight="1">
      <x:c r="A131" s="74"/>
      <x:c r="B131" s="46"/>
      <x:c r="C131" s="46"/>
      <x:c r="D131" s="46" t="str">
        <x:f>IFERROR(XLOOKUP(C131,'Animals'!$A$5:$A$104,'Animals'!$C$5:$C$104,""),"")</x:f>
      </x:c>
      <x:c r="E131" s="46" t="str">
        <x:f>IFERROR(XLOOKUP(C131,'Animals'!$A$5:$A$104,'Animals'!$H$5:$H$104,""),"")</x:f>
      </x:c>
      <x:c r="F131" s="71"/>
      <x:c r="G131" s="71"/>
      <x:c r="H131" s="71"/>
      <x:c r="I131" s="71"/>
      <x:c r="J131" s="71"/>
      <x:c r="K131" s="46"/>
      <x:c r="L131" s="46"/>
      <x:c r="M131" s="46"/>
      <x:c r="N131" s="46"/>
      <x:c r="O131" s="46"/>
      <x:c r="P131" s="46"/>
      <x:c r="Q131" s="47" t="str">
        <x:f>IF(C131="","",IF(OR(J131&gt;IFERROR(INDEX('Normal Parameters'!$G$5:$G$104,MATCH(1,('Normal Parameters'!$A$5:$A$104=D131)*('Normal Parameters'!$B$5:$B$104=E131)*('Normal Parameters'!$C$5:$C$104="Behavior Score"),0)),99),F131&lt;IFERROR(INDEX('Normal Parameters'!$E$5:$E$104,MATCH(1,('Normal Parameters'!$A$5:$A$104=D131)*('Normal Parameters'!$B$5:$B$104=E131)*('Normal Parameters'!$C$5:$C$104="Weight"),0)),0),F131&gt;IFERROR(INDEX('Normal Parameters'!$G$5:$G$104,MATCH(1,('Normal Parameters'!$A$5:$A$104=D131)*('Normal Parameters'!$B$5:$B$104=E131)*('Normal Parameters'!$C$5:$C$104="Weight"),0)),9999),I131&lt;IFERROR(INDEX('Normal Parameters'!$E$5:$E$104,MATCH(1,('Normal Parameters'!$A$5:$A$104=D131)*('Normal Parameters'!$B$5:$B$104=E131)*('Normal Parameters'!$C$5:$C$104="Temperature"),0)),0),I131&gt;IFERROR(INDEX('Normal Parameters'!$G$5:$G$104,MATCH(1,('Normal Parameters'!$A$5:$A$104=D131)*('Normal Parameters'!$B$5:$B$104=E131)*('Normal Parameters'!$C$5:$C$104="Temperature"),0)),9999)),"Check","Normal"))</x:f>
      </x:c>
    </x:row>
    <x:row r="132" ht="15" hidden="0" customHeight="1">
      <x:c r="A132" s="74"/>
      <x:c r="B132" s="46"/>
      <x:c r="C132" s="46"/>
      <x:c r="D132" s="46" t="str">
        <x:f>IFERROR(XLOOKUP(C132,'Animals'!$A$5:$A$104,'Animals'!$C$5:$C$104,""),"")</x:f>
      </x:c>
      <x:c r="E132" s="46" t="str">
        <x:f>IFERROR(XLOOKUP(C132,'Animals'!$A$5:$A$104,'Animals'!$H$5:$H$104,""),"")</x:f>
      </x:c>
      <x:c r="F132" s="71"/>
      <x:c r="G132" s="71"/>
      <x:c r="H132" s="71"/>
      <x:c r="I132" s="71"/>
      <x:c r="J132" s="71"/>
      <x:c r="K132" s="46"/>
      <x:c r="L132" s="46"/>
      <x:c r="M132" s="46"/>
      <x:c r="N132" s="46"/>
      <x:c r="O132" s="46"/>
      <x:c r="P132" s="46"/>
      <x:c r="Q132" s="47" t="str">
        <x:f>IF(C132="","",IF(OR(J132&gt;IFERROR(INDEX('Normal Parameters'!$G$5:$G$104,MATCH(1,('Normal Parameters'!$A$5:$A$104=D132)*('Normal Parameters'!$B$5:$B$104=E132)*('Normal Parameters'!$C$5:$C$104="Behavior Score"),0)),99),F132&lt;IFERROR(INDEX('Normal Parameters'!$E$5:$E$104,MATCH(1,('Normal Parameters'!$A$5:$A$104=D132)*('Normal Parameters'!$B$5:$B$104=E132)*('Normal Parameters'!$C$5:$C$104="Weight"),0)),0),F132&gt;IFERROR(INDEX('Normal Parameters'!$G$5:$G$104,MATCH(1,('Normal Parameters'!$A$5:$A$104=D132)*('Normal Parameters'!$B$5:$B$104=E132)*('Normal Parameters'!$C$5:$C$104="Weight"),0)),9999),I132&lt;IFERROR(INDEX('Normal Parameters'!$E$5:$E$104,MATCH(1,('Normal Parameters'!$A$5:$A$104=D132)*('Normal Parameters'!$B$5:$B$104=E132)*('Normal Parameters'!$C$5:$C$104="Temperature"),0)),0),I132&gt;IFERROR(INDEX('Normal Parameters'!$G$5:$G$104,MATCH(1,('Normal Parameters'!$A$5:$A$104=D132)*('Normal Parameters'!$B$5:$B$104=E132)*('Normal Parameters'!$C$5:$C$104="Temperature"),0)),9999)),"Check","Normal"))</x:f>
      </x:c>
    </x:row>
    <x:row r="133" ht="15" hidden="0" customHeight="1">
      <x:c r="A133" s="74"/>
      <x:c r="B133" s="46"/>
      <x:c r="C133" s="46"/>
      <x:c r="D133" s="46" t="str">
        <x:f>IFERROR(XLOOKUP(C133,'Animals'!$A$5:$A$104,'Animals'!$C$5:$C$104,""),"")</x:f>
      </x:c>
      <x:c r="E133" s="46" t="str">
        <x:f>IFERROR(XLOOKUP(C133,'Animals'!$A$5:$A$104,'Animals'!$H$5:$H$104,""),"")</x:f>
      </x:c>
      <x:c r="F133" s="71"/>
      <x:c r="G133" s="71"/>
      <x:c r="H133" s="71"/>
      <x:c r="I133" s="71"/>
      <x:c r="J133" s="71"/>
      <x:c r="K133" s="46"/>
      <x:c r="L133" s="46"/>
      <x:c r="M133" s="46"/>
      <x:c r="N133" s="46"/>
      <x:c r="O133" s="46"/>
      <x:c r="P133" s="46"/>
      <x:c r="Q133" s="47" t="str">
        <x:f>IF(C133="","",IF(OR(J133&gt;IFERROR(INDEX('Normal Parameters'!$G$5:$G$104,MATCH(1,('Normal Parameters'!$A$5:$A$104=D133)*('Normal Parameters'!$B$5:$B$104=E133)*('Normal Parameters'!$C$5:$C$104="Behavior Score"),0)),99),F133&lt;IFERROR(INDEX('Normal Parameters'!$E$5:$E$104,MATCH(1,('Normal Parameters'!$A$5:$A$104=D133)*('Normal Parameters'!$B$5:$B$104=E133)*('Normal Parameters'!$C$5:$C$104="Weight"),0)),0),F133&gt;IFERROR(INDEX('Normal Parameters'!$G$5:$G$104,MATCH(1,('Normal Parameters'!$A$5:$A$104=D133)*('Normal Parameters'!$B$5:$B$104=E133)*('Normal Parameters'!$C$5:$C$104="Weight"),0)),9999),I133&lt;IFERROR(INDEX('Normal Parameters'!$E$5:$E$104,MATCH(1,('Normal Parameters'!$A$5:$A$104=D133)*('Normal Parameters'!$B$5:$B$104=E133)*('Normal Parameters'!$C$5:$C$104="Temperature"),0)),0),I133&gt;IFERROR(INDEX('Normal Parameters'!$G$5:$G$104,MATCH(1,('Normal Parameters'!$A$5:$A$104=D133)*('Normal Parameters'!$B$5:$B$104=E133)*('Normal Parameters'!$C$5:$C$104="Temperature"),0)),9999)),"Check","Normal"))</x:f>
      </x:c>
    </x:row>
    <x:row r="134" ht="15" hidden="0" customHeight="1">
      <x:c r="A134" s="74"/>
      <x:c r="B134" s="46"/>
      <x:c r="C134" s="46"/>
      <x:c r="D134" s="46" t="str">
        <x:f>IFERROR(XLOOKUP(C134,'Animals'!$A$5:$A$104,'Animals'!$C$5:$C$104,""),"")</x:f>
      </x:c>
      <x:c r="E134" s="46" t="str">
        <x:f>IFERROR(XLOOKUP(C134,'Animals'!$A$5:$A$104,'Animals'!$H$5:$H$104,""),"")</x:f>
      </x:c>
      <x:c r="F134" s="71"/>
      <x:c r="G134" s="71"/>
      <x:c r="H134" s="71"/>
      <x:c r="I134" s="71"/>
      <x:c r="J134" s="71"/>
      <x:c r="K134" s="46"/>
      <x:c r="L134" s="46"/>
      <x:c r="M134" s="46"/>
      <x:c r="N134" s="46"/>
      <x:c r="O134" s="46"/>
      <x:c r="P134" s="46"/>
      <x:c r="Q134" s="47" t="str">
        <x:f>IF(C134="","",IF(OR(J134&gt;IFERROR(INDEX('Normal Parameters'!$G$5:$G$104,MATCH(1,('Normal Parameters'!$A$5:$A$104=D134)*('Normal Parameters'!$B$5:$B$104=E134)*('Normal Parameters'!$C$5:$C$104="Behavior Score"),0)),99),F134&lt;IFERROR(INDEX('Normal Parameters'!$E$5:$E$104,MATCH(1,('Normal Parameters'!$A$5:$A$104=D134)*('Normal Parameters'!$B$5:$B$104=E134)*('Normal Parameters'!$C$5:$C$104="Weight"),0)),0),F134&gt;IFERROR(INDEX('Normal Parameters'!$G$5:$G$104,MATCH(1,('Normal Parameters'!$A$5:$A$104=D134)*('Normal Parameters'!$B$5:$B$104=E134)*('Normal Parameters'!$C$5:$C$104="Weight"),0)),9999),I134&lt;IFERROR(INDEX('Normal Parameters'!$E$5:$E$104,MATCH(1,('Normal Parameters'!$A$5:$A$104=D134)*('Normal Parameters'!$B$5:$B$104=E134)*('Normal Parameters'!$C$5:$C$104="Temperature"),0)),0),I134&gt;IFERROR(INDEX('Normal Parameters'!$G$5:$G$104,MATCH(1,('Normal Parameters'!$A$5:$A$104=D134)*('Normal Parameters'!$B$5:$B$104=E134)*('Normal Parameters'!$C$5:$C$104="Temperature"),0)),9999)),"Check","Normal"))</x:f>
      </x:c>
    </x:row>
    <x:row r="135" ht="15" hidden="0" customHeight="1">
      <x:c r="A135" s="74"/>
      <x:c r="B135" s="46"/>
      <x:c r="C135" s="46"/>
      <x:c r="D135" s="46" t="str">
        <x:f>IFERROR(XLOOKUP(C135,'Animals'!$A$5:$A$104,'Animals'!$C$5:$C$104,""),"")</x:f>
      </x:c>
      <x:c r="E135" s="46" t="str">
        <x:f>IFERROR(XLOOKUP(C135,'Animals'!$A$5:$A$104,'Animals'!$H$5:$H$104,""),"")</x:f>
      </x:c>
      <x:c r="F135" s="71"/>
      <x:c r="G135" s="71"/>
      <x:c r="H135" s="71"/>
      <x:c r="I135" s="71"/>
      <x:c r="J135" s="71"/>
      <x:c r="K135" s="46"/>
      <x:c r="L135" s="46"/>
      <x:c r="M135" s="46"/>
      <x:c r="N135" s="46"/>
      <x:c r="O135" s="46"/>
      <x:c r="P135" s="46"/>
      <x:c r="Q135" s="47" t="str">
        <x:f>IF(C135="","",IF(OR(J135&gt;IFERROR(INDEX('Normal Parameters'!$G$5:$G$104,MATCH(1,('Normal Parameters'!$A$5:$A$104=D135)*('Normal Parameters'!$B$5:$B$104=E135)*('Normal Parameters'!$C$5:$C$104="Behavior Score"),0)),99),F135&lt;IFERROR(INDEX('Normal Parameters'!$E$5:$E$104,MATCH(1,('Normal Parameters'!$A$5:$A$104=D135)*('Normal Parameters'!$B$5:$B$104=E135)*('Normal Parameters'!$C$5:$C$104="Weight"),0)),0),F135&gt;IFERROR(INDEX('Normal Parameters'!$G$5:$G$104,MATCH(1,('Normal Parameters'!$A$5:$A$104=D135)*('Normal Parameters'!$B$5:$B$104=E135)*('Normal Parameters'!$C$5:$C$104="Weight"),0)),9999),I135&lt;IFERROR(INDEX('Normal Parameters'!$E$5:$E$104,MATCH(1,('Normal Parameters'!$A$5:$A$104=D135)*('Normal Parameters'!$B$5:$B$104=E135)*('Normal Parameters'!$C$5:$C$104="Temperature"),0)),0),I135&gt;IFERROR(INDEX('Normal Parameters'!$G$5:$G$104,MATCH(1,('Normal Parameters'!$A$5:$A$104=D135)*('Normal Parameters'!$B$5:$B$104=E135)*('Normal Parameters'!$C$5:$C$104="Temperature"),0)),9999)),"Check","Normal"))</x:f>
      </x:c>
    </x:row>
    <x:row r="136" ht="15" hidden="0" customHeight="1">
      <x:c r="A136" s="74"/>
      <x:c r="B136" s="46"/>
      <x:c r="C136" s="46"/>
      <x:c r="D136" s="46" t="str">
        <x:f>IFERROR(XLOOKUP(C136,'Animals'!$A$5:$A$104,'Animals'!$C$5:$C$104,""),"")</x:f>
      </x:c>
      <x:c r="E136" s="46" t="str">
        <x:f>IFERROR(XLOOKUP(C136,'Animals'!$A$5:$A$104,'Animals'!$H$5:$H$104,""),"")</x:f>
      </x:c>
      <x:c r="F136" s="71"/>
      <x:c r="G136" s="71"/>
      <x:c r="H136" s="71"/>
      <x:c r="I136" s="71"/>
      <x:c r="J136" s="71"/>
      <x:c r="K136" s="46"/>
      <x:c r="L136" s="46"/>
      <x:c r="M136" s="46"/>
      <x:c r="N136" s="46"/>
      <x:c r="O136" s="46"/>
      <x:c r="P136" s="46"/>
      <x:c r="Q136" s="47" t="str">
        <x:f>IF(C136="","",IF(OR(J136&gt;IFERROR(INDEX('Normal Parameters'!$G$5:$G$104,MATCH(1,('Normal Parameters'!$A$5:$A$104=D136)*('Normal Parameters'!$B$5:$B$104=E136)*('Normal Parameters'!$C$5:$C$104="Behavior Score"),0)),99),F136&lt;IFERROR(INDEX('Normal Parameters'!$E$5:$E$104,MATCH(1,('Normal Parameters'!$A$5:$A$104=D136)*('Normal Parameters'!$B$5:$B$104=E136)*('Normal Parameters'!$C$5:$C$104="Weight"),0)),0),F136&gt;IFERROR(INDEX('Normal Parameters'!$G$5:$G$104,MATCH(1,('Normal Parameters'!$A$5:$A$104=D136)*('Normal Parameters'!$B$5:$B$104=E136)*('Normal Parameters'!$C$5:$C$104="Weight"),0)),9999),I136&lt;IFERROR(INDEX('Normal Parameters'!$E$5:$E$104,MATCH(1,('Normal Parameters'!$A$5:$A$104=D136)*('Normal Parameters'!$B$5:$B$104=E136)*('Normal Parameters'!$C$5:$C$104="Temperature"),0)),0),I136&gt;IFERROR(INDEX('Normal Parameters'!$G$5:$G$104,MATCH(1,('Normal Parameters'!$A$5:$A$104=D136)*('Normal Parameters'!$B$5:$B$104=E136)*('Normal Parameters'!$C$5:$C$104="Temperature"),0)),9999)),"Check","Normal"))</x:f>
      </x:c>
    </x:row>
    <x:row r="137" ht="15" hidden="0" customHeight="1">
      <x:c r="A137" s="74"/>
      <x:c r="B137" s="46"/>
      <x:c r="C137" s="46"/>
      <x:c r="D137" s="46" t="str">
        <x:f>IFERROR(XLOOKUP(C137,'Animals'!$A$5:$A$104,'Animals'!$C$5:$C$104,""),"")</x:f>
      </x:c>
      <x:c r="E137" s="46" t="str">
        <x:f>IFERROR(XLOOKUP(C137,'Animals'!$A$5:$A$104,'Animals'!$H$5:$H$104,""),"")</x:f>
      </x:c>
      <x:c r="F137" s="71"/>
      <x:c r="G137" s="71"/>
      <x:c r="H137" s="71"/>
      <x:c r="I137" s="71"/>
      <x:c r="J137" s="71"/>
      <x:c r="K137" s="46"/>
      <x:c r="L137" s="46"/>
      <x:c r="M137" s="46"/>
      <x:c r="N137" s="46"/>
      <x:c r="O137" s="46"/>
      <x:c r="P137" s="46"/>
      <x:c r="Q137" s="47" t="str">
        <x:f>IF(C137="","",IF(OR(J137&gt;IFERROR(INDEX('Normal Parameters'!$G$5:$G$104,MATCH(1,('Normal Parameters'!$A$5:$A$104=D137)*('Normal Parameters'!$B$5:$B$104=E137)*('Normal Parameters'!$C$5:$C$104="Behavior Score"),0)),99),F137&lt;IFERROR(INDEX('Normal Parameters'!$E$5:$E$104,MATCH(1,('Normal Parameters'!$A$5:$A$104=D137)*('Normal Parameters'!$B$5:$B$104=E137)*('Normal Parameters'!$C$5:$C$104="Weight"),0)),0),F137&gt;IFERROR(INDEX('Normal Parameters'!$G$5:$G$104,MATCH(1,('Normal Parameters'!$A$5:$A$104=D137)*('Normal Parameters'!$B$5:$B$104=E137)*('Normal Parameters'!$C$5:$C$104="Weight"),0)),9999),I137&lt;IFERROR(INDEX('Normal Parameters'!$E$5:$E$104,MATCH(1,('Normal Parameters'!$A$5:$A$104=D137)*('Normal Parameters'!$B$5:$B$104=E137)*('Normal Parameters'!$C$5:$C$104="Temperature"),0)),0),I137&gt;IFERROR(INDEX('Normal Parameters'!$G$5:$G$104,MATCH(1,('Normal Parameters'!$A$5:$A$104=D137)*('Normal Parameters'!$B$5:$B$104=E137)*('Normal Parameters'!$C$5:$C$104="Temperature"),0)),9999)),"Check","Normal"))</x:f>
      </x:c>
    </x:row>
    <x:row r="138" ht="15" hidden="0" customHeight="1">
      <x:c r="A138" s="74"/>
      <x:c r="B138" s="46"/>
      <x:c r="C138" s="46"/>
      <x:c r="D138" s="46" t="str">
        <x:f>IFERROR(XLOOKUP(C138,'Animals'!$A$5:$A$104,'Animals'!$C$5:$C$104,""),"")</x:f>
      </x:c>
      <x:c r="E138" s="46" t="str">
        <x:f>IFERROR(XLOOKUP(C138,'Animals'!$A$5:$A$104,'Animals'!$H$5:$H$104,""),"")</x:f>
      </x:c>
      <x:c r="F138" s="71"/>
      <x:c r="G138" s="71"/>
      <x:c r="H138" s="71"/>
      <x:c r="I138" s="71"/>
      <x:c r="J138" s="71"/>
      <x:c r="K138" s="46"/>
      <x:c r="L138" s="46"/>
      <x:c r="M138" s="46"/>
      <x:c r="N138" s="46"/>
      <x:c r="O138" s="46"/>
      <x:c r="P138" s="46"/>
      <x:c r="Q138" s="47" t="str">
        <x:f>IF(C138="","",IF(OR(J138&gt;IFERROR(INDEX('Normal Parameters'!$G$5:$G$104,MATCH(1,('Normal Parameters'!$A$5:$A$104=D138)*('Normal Parameters'!$B$5:$B$104=E138)*('Normal Parameters'!$C$5:$C$104="Behavior Score"),0)),99),F138&lt;IFERROR(INDEX('Normal Parameters'!$E$5:$E$104,MATCH(1,('Normal Parameters'!$A$5:$A$104=D138)*('Normal Parameters'!$B$5:$B$104=E138)*('Normal Parameters'!$C$5:$C$104="Weight"),0)),0),F138&gt;IFERROR(INDEX('Normal Parameters'!$G$5:$G$104,MATCH(1,('Normal Parameters'!$A$5:$A$104=D138)*('Normal Parameters'!$B$5:$B$104=E138)*('Normal Parameters'!$C$5:$C$104="Weight"),0)),9999),I138&lt;IFERROR(INDEX('Normal Parameters'!$E$5:$E$104,MATCH(1,('Normal Parameters'!$A$5:$A$104=D138)*('Normal Parameters'!$B$5:$B$104=E138)*('Normal Parameters'!$C$5:$C$104="Temperature"),0)),0),I138&gt;IFERROR(INDEX('Normal Parameters'!$G$5:$G$104,MATCH(1,('Normal Parameters'!$A$5:$A$104=D138)*('Normal Parameters'!$B$5:$B$104=E138)*('Normal Parameters'!$C$5:$C$104="Temperature"),0)),9999)),"Check","Normal"))</x:f>
      </x:c>
    </x:row>
    <x:row r="139" ht="15" hidden="0" customHeight="1">
      <x:c r="A139" s="74"/>
      <x:c r="B139" s="46"/>
      <x:c r="C139" s="46"/>
      <x:c r="D139" s="46" t="str">
        <x:f>IFERROR(XLOOKUP(C139,'Animals'!$A$5:$A$104,'Animals'!$C$5:$C$104,""),"")</x:f>
      </x:c>
      <x:c r="E139" s="46" t="str">
        <x:f>IFERROR(XLOOKUP(C139,'Animals'!$A$5:$A$104,'Animals'!$H$5:$H$104,""),"")</x:f>
      </x:c>
      <x:c r="F139" s="71"/>
      <x:c r="G139" s="71"/>
      <x:c r="H139" s="71"/>
      <x:c r="I139" s="71"/>
      <x:c r="J139" s="71"/>
      <x:c r="K139" s="46"/>
      <x:c r="L139" s="46"/>
      <x:c r="M139" s="46"/>
      <x:c r="N139" s="46"/>
      <x:c r="O139" s="46"/>
      <x:c r="P139" s="46"/>
      <x:c r="Q139" s="47" t="str">
        <x:f>IF(C139="","",IF(OR(J139&gt;IFERROR(INDEX('Normal Parameters'!$G$5:$G$104,MATCH(1,('Normal Parameters'!$A$5:$A$104=D139)*('Normal Parameters'!$B$5:$B$104=E139)*('Normal Parameters'!$C$5:$C$104="Behavior Score"),0)),99),F139&lt;IFERROR(INDEX('Normal Parameters'!$E$5:$E$104,MATCH(1,('Normal Parameters'!$A$5:$A$104=D139)*('Normal Parameters'!$B$5:$B$104=E139)*('Normal Parameters'!$C$5:$C$104="Weight"),0)),0),F139&gt;IFERROR(INDEX('Normal Parameters'!$G$5:$G$104,MATCH(1,('Normal Parameters'!$A$5:$A$104=D139)*('Normal Parameters'!$B$5:$B$104=E139)*('Normal Parameters'!$C$5:$C$104="Weight"),0)),9999),I139&lt;IFERROR(INDEX('Normal Parameters'!$E$5:$E$104,MATCH(1,('Normal Parameters'!$A$5:$A$104=D139)*('Normal Parameters'!$B$5:$B$104=E139)*('Normal Parameters'!$C$5:$C$104="Temperature"),0)),0),I139&gt;IFERROR(INDEX('Normal Parameters'!$G$5:$G$104,MATCH(1,('Normal Parameters'!$A$5:$A$104=D139)*('Normal Parameters'!$B$5:$B$104=E139)*('Normal Parameters'!$C$5:$C$104="Temperature"),0)),9999)),"Check","Normal"))</x:f>
      </x:c>
    </x:row>
    <x:row r="140" ht="15" hidden="0" customHeight="1">
      <x:c r="A140" s="74"/>
      <x:c r="B140" s="46"/>
      <x:c r="C140" s="46"/>
      <x:c r="D140" s="46" t="str">
        <x:f>IFERROR(XLOOKUP(C140,'Animals'!$A$5:$A$104,'Animals'!$C$5:$C$104,""),"")</x:f>
      </x:c>
      <x:c r="E140" s="46" t="str">
        <x:f>IFERROR(XLOOKUP(C140,'Animals'!$A$5:$A$104,'Animals'!$H$5:$H$104,""),"")</x:f>
      </x:c>
      <x:c r="F140" s="71"/>
      <x:c r="G140" s="71"/>
      <x:c r="H140" s="71"/>
      <x:c r="I140" s="71"/>
      <x:c r="J140" s="71"/>
      <x:c r="K140" s="46"/>
      <x:c r="L140" s="46"/>
      <x:c r="M140" s="46"/>
      <x:c r="N140" s="46"/>
      <x:c r="O140" s="46"/>
      <x:c r="P140" s="46"/>
      <x:c r="Q140" s="47" t="str">
        <x:f>IF(C140="","",IF(OR(J140&gt;IFERROR(INDEX('Normal Parameters'!$G$5:$G$104,MATCH(1,('Normal Parameters'!$A$5:$A$104=D140)*('Normal Parameters'!$B$5:$B$104=E140)*('Normal Parameters'!$C$5:$C$104="Behavior Score"),0)),99),F140&lt;IFERROR(INDEX('Normal Parameters'!$E$5:$E$104,MATCH(1,('Normal Parameters'!$A$5:$A$104=D140)*('Normal Parameters'!$B$5:$B$104=E140)*('Normal Parameters'!$C$5:$C$104="Weight"),0)),0),F140&gt;IFERROR(INDEX('Normal Parameters'!$G$5:$G$104,MATCH(1,('Normal Parameters'!$A$5:$A$104=D140)*('Normal Parameters'!$B$5:$B$104=E140)*('Normal Parameters'!$C$5:$C$104="Weight"),0)),9999),I140&lt;IFERROR(INDEX('Normal Parameters'!$E$5:$E$104,MATCH(1,('Normal Parameters'!$A$5:$A$104=D140)*('Normal Parameters'!$B$5:$B$104=E140)*('Normal Parameters'!$C$5:$C$104="Temperature"),0)),0),I140&gt;IFERROR(INDEX('Normal Parameters'!$G$5:$G$104,MATCH(1,('Normal Parameters'!$A$5:$A$104=D140)*('Normal Parameters'!$B$5:$B$104=E140)*('Normal Parameters'!$C$5:$C$104="Temperature"),0)),9999)),"Check","Normal"))</x:f>
      </x:c>
    </x:row>
    <x:row r="141" ht="15" hidden="0" customHeight="1">
      <x:c r="A141" s="74"/>
      <x:c r="B141" s="46"/>
      <x:c r="C141" s="46"/>
      <x:c r="D141" s="46" t="str">
        <x:f>IFERROR(XLOOKUP(C141,'Animals'!$A$5:$A$104,'Animals'!$C$5:$C$104,""),"")</x:f>
      </x:c>
      <x:c r="E141" s="46" t="str">
        <x:f>IFERROR(XLOOKUP(C141,'Animals'!$A$5:$A$104,'Animals'!$H$5:$H$104,""),"")</x:f>
      </x:c>
      <x:c r="F141" s="71"/>
      <x:c r="G141" s="71"/>
      <x:c r="H141" s="71"/>
      <x:c r="I141" s="71"/>
      <x:c r="J141" s="71"/>
      <x:c r="K141" s="46"/>
      <x:c r="L141" s="46"/>
      <x:c r="M141" s="46"/>
      <x:c r="N141" s="46"/>
      <x:c r="O141" s="46"/>
      <x:c r="P141" s="46"/>
      <x:c r="Q141" s="47" t="str">
        <x:f>IF(C141="","",IF(OR(J141&gt;IFERROR(INDEX('Normal Parameters'!$G$5:$G$104,MATCH(1,('Normal Parameters'!$A$5:$A$104=D141)*('Normal Parameters'!$B$5:$B$104=E141)*('Normal Parameters'!$C$5:$C$104="Behavior Score"),0)),99),F141&lt;IFERROR(INDEX('Normal Parameters'!$E$5:$E$104,MATCH(1,('Normal Parameters'!$A$5:$A$104=D141)*('Normal Parameters'!$B$5:$B$104=E141)*('Normal Parameters'!$C$5:$C$104="Weight"),0)),0),F141&gt;IFERROR(INDEX('Normal Parameters'!$G$5:$G$104,MATCH(1,('Normal Parameters'!$A$5:$A$104=D141)*('Normal Parameters'!$B$5:$B$104=E141)*('Normal Parameters'!$C$5:$C$104="Weight"),0)),9999),I141&lt;IFERROR(INDEX('Normal Parameters'!$E$5:$E$104,MATCH(1,('Normal Parameters'!$A$5:$A$104=D141)*('Normal Parameters'!$B$5:$B$104=E141)*('Normal Parameters'!$C$5:$C$104="Temperature"),0)),0),I141&gt;IFERROR(INDEX('Normal Parameters'!$G$5:$G$104,MATCH(1,('Normal Parameters'!$A$5:$A$104=D141)*('Normal Parameters'!$B$5:$B$104=E141)*('Normal Parameters'!$C$5:$C$104="Temperature"),0)),9999)),"Check","Normal"))</x:f>
      </x:c>
    </x:row>
    <x:row r="142" ht="15" hidden="0" customHeight="1">
      <x:c r="A142" s="74"/>
      <x:c r="B142" s="46"/>
      <x:c r="C142" s="46"/>
      <x:c r="D142" s="46" t="str">
        <x:f>IFERROR(XLOOKUP(C142,'Animals'!$A$5:$A$104,'Animals'!$C$5:$C$104,""),"")</x:f>
      </x:c>
      <x:c r="E142" s="46" t="str">
        <x:f>IFERROR(XLOOKUP(C142,'Animals'!$A$5:$A$104,'Animals'!$H$5:$H$104,""),"")</x:f>
      </x:c>
      <x:c r="F142" s="71"/>
      <x:c r="G142" s="71"/>
      <x:c r="H142" s="71"/>
      <x:c r="I142" s="71"/>
      <x:c r="J142" s="71"/>
      <x:c r="K142" s="46"/>
      <x:c r="L142" s="46"/>
      <x:c r="M142" s="46"/>
      <x:c r="N142" s="46"/>
      <x:c r="O142" s="46"/>
      <x:c r="P142" s="46"/>
      <x:c r="Q142" s="47" t="str">
        <x:f>IF(C142="","",IF(OR(J142&gt;IFERROR(INDEX('Normal Parameters'!$G$5:$G$104,MATCH(1,('Normal Parameters'!$A$5:$A$104=D142)*('Normal Parameters'!$B$5:$B$104=E142)*('Normal Parameters'!$C$5:$C$104="Behavior Score"),0)),99),F142&lt;IFERROR(INDEX('Normal Parameters'!$E$5:$E$104,MATCH(1,('Normal Parameters'!$A$5:$A$104=D142)*('Normal Parameters'!$B$5:$B$104=E142)*('Normal Parameters'!$C$5:$C$104="Weight"),0)),0),F142&gt;IFERROR(INDEX('Normal Parameters'!$G$5:$G$104,MATCH(1,('Normal Parameters'!$A$5:$A$104=D142)*('Normal Parameters'!$B$5:$B$104=E142)*('Normal Parameters'!$C$5:$C$104="Weight"),0)),9999),I142&lt;IFERROR(INDEX('Normal Parameters'!$E$5:$E$104,MATCH(1,('Normal Parameters'!$A$5:$A$104=D142)*('Normal Parameters'!$B$5:$B$104=E142)*('Normal Parameters'!$C$5:$C$104="Temperature"),0)),0),I142&gt;IFERROR(INDEX('Normal Parameters'!$G$5:$G$104,MATCH(1,('Normal Parameters'!$A$5:$A$104=D142)*('Normal Parameters'!$B$5:$B$104=E142)*('Normal Parameters'!$C$5:$C$104="Temperature"),0)),9999)),"Check","Normal"))</x:f>
      </x:c>
    </x:row>
    <x:row r="143" ht="15" hidden="0" customHeight="1">
      <x:c r="A143" s="74"/>
      <x:c r="B143" s="46"/>
      <x:c r="C143" s="46"/>
      <x:c r="D143" s="46" t="str">
        <x:f>IFERROR(XLOOKUP(C143,'Animals'!$A$5:$A$104,'Animals'!$C$5:$C$104,""),"")</x:f>
      </x:c>
      <x:c r="E143" s="46" t="str">
        <x:f>IFERROR(XLOOKUP(C143,'Animals'!$A$5:$A$104,'Animals'!$H$5:$H$104,""),"")</x:f>
      </x:c>
      <x:c r="F143" s="71"/>
      <x:c r="G143" s="71"/>
      <x:c r="H143" s="71"/>
      <x:c r="I143" s="71"/>
      <x:c r="J143" s="71"/>
      <x:c r="K143" s="46"/>
      <x:c r="L143" s="46"/>
      <x:c r="M143" s="46"/>
      <x:c r="N143" s="46"/>
      <x:c r="O143" s="46"/>
      <x:c r="P143" s="46"/>
      <x:c r="Q143" s="47" t="str">
        <x:f>IF(C143="","",IF(OR(J143&gt;IFERROR(INDEX('Normal Parameters'!$G$5:$G$104,MATCH(1,('Normal Parameters'!$A$5:$A$104=D143)*('Normal Parameters'!$B$5:$B$104=E143)*('Normal Parameters'!$C$5:$C$104="Behavior Score"),0)),99),F143&lt;IFERROR(INDEX('Normal Parameters'!$E$5:$E$104,MATCH(1,('Normal Parameters'!$A$5:$A$104=D143)*('Normal Parameters'!$B$5:$B$104=E143)*('Normal Parameters'!$C$5:$C$104="Weight"),0)),0),F143&gt;IFERROR(INDEX('Normal Parameters'!$G$5:$G$104,MATCH(1,('Normal Parameters'!$A$5:$A$104=D143)*('Normal Parameters'!$B$5:$B$104=E143)*('Normal Parameters'!$C$5:$C$104="Weight"),0)),9999),I143&lt;IFERROR(INDEX('Normal Parameters'!$E$5:$E$104,MATCH(1,('Normal Parameters'!$A$5:$A$104=D143)*('Normal Parameters'!$B$5:$B$104=E143)*('Normal Parameters'!$C$5:$C$104="Temperature"),0)),0),I143&gt;IFERROR(INDEX('Normal Parameters'!$G$5:$G$104,MATCH(1,('Normal Parameters'!$A$5:$A$104=D143)*('Normal Parameters'!$B$5:$B$104=E143)*('Normal Parameters'!$C$5:$C$104="Temperature"),0)),9999)),"Check","Normal"))</x:f>
      </x:c>
    </x:row>
    <x:row r="144" ht="15" hidden="0" customHeight="1">
      <x:c r="A144" s="74"/>
      <x:c r="B144" s="46"/>
      <x:c r="C144" s="46"/>
      <x:c r="D144" s="46" t="str">
        <x:f>IFERROR(XLOOKUP(C144,'Animals'!$A$5:$A$104,'Animals'!$C$5:$C$104,""),"")</x:f>
      </x:c>
      <x:c r="E144" s="46" t="str">
        <x:f>IFERROR(XLOOKUP(C144,'Animals'!$A$5:$A$104,'Animals'!$H$5:$H$104,""),"")</x:f>
      </x:c>
      <x:c r="F144" s="71"/>
      <x:c r="G144" s="71"/>
      <x:c r="H144" s="71"/>
      <x:c r="I144" s="71"/>
      <x:c r="J144" s="71"/>
      <x:c r="K144" s="46"/>
      <x:c r="L144" s="46"/>
      <x:c r="M144" s="46"/>
      <x:c r="N144" s="46"/>
      <x:c r="O144" s="46"/>
      <x:c r="P144" s="46"/>
      <x:c r="Q144" s="47" t="str">
        <x:f>IF(C144="","",IF(OR(J144&gt;IFERROR(INDEX('Normal Parameters'!$G$5:$G$104,MATCH(1,('Normal Parameters'!$A$5:$A$104=D144)*('Normal Parameters'!$B$5:$B$104=E144)*('Normal Parameters'!$C$5:$C$104="Behavior Score"),0)),99),F144&lt;IFERROR(INDEX('Normal Parameters'!$E$5:$E$104,MATCH(1,('Normal Parameters'!$A$5:$A$104=D144)*('Normal Parameters'!$B$5:$B$104=E144)*('Normal Parameters'!$C$5:$C$104="Weight"),0)),0),F144&gt;IFERROR(INDEX('Normal Parameters'!$G$5:$G$104,MATCH(1,('Normal Parameters'!$A$5:$A$104=D144)*('Normal Parameters'!$B$5:$B$104=E144)*('Normal Parameters'!$C$5:$C$104="Weight"),0)),9999),I144&lt;IFERROR(INDEX('Normal Parameters'!$E$5:$E$104,MATCH(1,('Normal Parameters'!$A$5:$A$104=D144)*('Normal Parameters'!$B$5:$B$104=E144)*('Normal Parameters'!$C$5:$C$104="Temperature"),0)),0),I144&gt;IFERROR(INDEX('Normal Parameters'!$G$5:$G$104,MATCH(1,('Normal Parameters'!$A$5:$A$104=D144)*('Normal Parameters'!$B$5:$B$104=E144)*('Normal Parameters'!$C$5:$C$104="Temperature"),0)),9999)),"Check","Normal"))</x:f>
      </x:c>
    </x:row>
    <x:row r="145" ht="15" hidden="0" customHeight="1">
      <x:c r="A145" s="74"/>
      <x:c r="B145" s="46"/>
      <x:c r="C145" s="46"/>
      <x:c r="D145" s="46" t="str">
        <x:f>IFERROR(XLOOKUP(C145,'Animals'!$A$5:$A$104,'Animals'!$C$5:$C$104,""),"")</x:f>
      </x:c>
      <x:c r="E145" s="46" t="str">
        <x:f>IFERROR(XLOOKUP(C145,'Animals'!$A$5:$A$104,'Animals'!$H$5:$H$104,""),"")</x:f>
      </x:c>
      <x:c r="F145" s="71"/>
      <x:c r="G145" s="71"/>
      <x:c r="H145" s="71"/>
      <x:c r="I145" s="71"/>
      <x:c r="J145" s="71"/>
      <x:c r="K145" s="46"/>
      <x:c r="L145" s="46"/>
      <x:c r="M145" s="46"/>
      <x:c r="N145" s="46"/>
      <x:c r="O145" s="46"/>
      <x:c r="P145" s="46"/>
      <x:c r="Q145" s="47" t="str">
        <x:f>IF(C145="","",IF(OR(J145&gt;IFERROR(INDEX('Normal Parameters'!$G$5:$G$104,MATCH(1,('Normal Parameters'!$A$5:$A$104=D145)*('Normal Parameters'!$B$5:$B$104=E145)*('Normal Parameters'!$C$5:$C$104="Behavior Score"),0)),99),F145&lt;IFERROR(INDEX('Normal Parameters'!$E$5:$E$104,MATCH(1,('Normal Parameters'!$A$5:$A$104=D145)*('Normal Parameters'!$B$5:$B$104=E145)*('Normal Parameters'!$C$5:$C$104="Weight"),0)),0),F145&gt;IFERROR(INDEX('Normal Parameters'!$G$5:$G$104,MATCH(1,('Normal Parameters'!$A$5:$A$104=D145)*('Normal Parameters'!$B$5:$B$104=E145)*('Normal Parameters'!$C$5:$C$104="Weight"),0)),9999),I145&lt;IFERROR(INDEX('Normal Parameters'!$E$5:$E$104,MATCH(1,('Normal Parameters'!$A$5:$A$104=D145)*('Normal Parameters'!$B$5:$B$104=E145)*('Normal Parameters'!$C$5:$C$104="Temperature"),0)),0),I145&gt;IFERROR(INDEX('Normal Parameters'!$G$5:$G$104,MATCH(1,('Normal Parameters'!$A$5:$A$104=D145)*('Normal Parameters'!$B$5:$B$104=E145)*('Normal Parameters'!$C$5:$C$104="Temperature"),0)),9999)),"Check","Normal"))</x:f>
      </x:c>
    </x:row>
    <x:row r="146" ht="15" hidden="0" customHeight="1">
      <x:c r="A146" s="74"/>
      <x:c r="B146" s="46"/>
      <x:c r="C146" s="46"/>
      <x:c r="D146" s="46" t="str">
        <x:f>IFERROR(XLOOKUP(C146,'Animals'!$A$5:$A$104,'Animals'!$C$5:$C$104,""),"")</x:f>
      </x:c>
      <x:c r="E146" s="46" t="str">
        <x:f>IFERROR(XLOOKUP(C146,'Animals'!$A$5:$A$104,'Animals'!$H$5:$H$104,""),"")</x:f>
      </x:c>
      <x:c r="F146" s="71"/>
      <x:c r="G146" s="71"/>
      <x:c r="H146" s="71"/>
      <x:c r="I146" s="71"/>
      <x:c r="J146" s="71"/>
      <x:c r="K146" s="46"/>
      <x:c r="L146" s="46"/>
      <x:c r="M146" s="46"/>
      <x:c r="N146" s="46"/>
      <x:c r="O146" s="46"/>
      <x:c r="P146" s="46"/>
      <x:c r="Q146" s="47" t="str">
        <x:f>IF(C146="","",IF(OR(J146&gt;IFERROR(INDEX('Normal Parameters'!$G$5:$G$104,MATCH(1,('Normal Parameters'!$A$5:$A$104=D146)*('Normal Parameters'!$B$5:$B$104=E146)*('Normal Parameters'!$C$5:$C$104="Behavior Score"),0)),99),F146&lt;IFERROR(INDEX('Normal Parameters'!$E$5:$E$104,MATCH(1,('Normal Parameters'!$A$5:$A$104=D146)*('Normal Parameters'!$B$5:$B$104=E146)*('Normal Parameters'!$C$5:$C$104="Weight"),0)),0),F146&gt;IFERROR(INDEX('Normal Parameters'!$G$5:$G$104,MATCH(1,('Normal Parameters'!$A$5:$A$104=D146)*('Normal Parameters'!$B$5:$B$104=E146)*('Normal Parameters'!$C$5:$C$104="Weight"),0)),9999),I146&lt;IFERROR(INDEX('Normal Parameters'!$E$5:$E$104,MATCH(1,('Normal Parameters'!$A$5:$A$104=D146)*('Normal Parameters'!$B$5:$B$104=E146)*('Normal Parameters'!$C$5:$C$104="Temperature"),0)),0),I146&gt;IFERROR(INDEX('Normal Parameters'!$G$5:$G$104,MATCH(1,('Normal Parameters'!$A$5:$A$104=D146)*('Normal Parameters'!$B$5:$B$104=E146)*('Normal Parameters'!$C$5:$C$104="Temperature"),0)),9999)),"Check","Normal"))</x:f>
      </x:c>
    </x:row>
    <x:row r="147" ht="15" hidden="0" customHeight="1">
      <x:c r="A147" s="74"/>
      <x:c r="B147" s="46"/>
      <x:c r="C147" s="46"/>
      <x:c r="D147" s="46" t="str">
        <x:f>IFERROR(XLOOKUP(C147,'Animals'!$A$5:$A$104,'Animals'!$C$5:$C$104,""),"")</x:f>
      </x:c>
      <x:c r="E147" s="46" t="str">
        <x:f>IFERROR(XLOOKUP(C147,'Animals'!$A$5:$A$104,'Animals'!$H$5:$H$104,""),"")</x:f>
      </x:c>
      <x:c r="F147" s="71"/>
      <x:c r="G147" s="71"/>
      <x:c r="H147" s="71"/>
      <x:c r="I147" s="71"/>
      <x:c r="J147" s="71"/>
      <x:c r="K147" s="46"/>
      <x:c r="L147" s="46"/>
      <x:c r="M147" s="46"/>
      <x:c r="N147" s="46"/>
      <x:c r="O147" s="46"/>
      <x:c r="P147" s="46"/>
      <x:c r="Q147" s="47" t="str">
        <x:f>IF(C147="","",IF(OR(J147&gt;IFERROR(INDEX('Normal Parameters'!$G$5:$G$104,MATCH(1,('Normal Parameters'!$A$5:$A$104=D147)*('Normal Parameters'!$B$5:$B$104=E147)*('Normal Parameters'!$C$5:$C$104="Behavior Score"),0)),99),F147&lt;IFERROR(INDEX('Normal Parameters'!$E$5:$E$104,MATCH(1,('Normal Parameters'!$A$5:$A$104=D147)*('Normal Parameters'!$B$5:$B$104=E147)*('Normal Parameters'!$C$5:$C$104="Weight"),0)),0),F147&gt;IFERROR(INDEX('Normal Parameters'!$G$5:$G$104,MATCH(1,('Normal Parameters'!$A$5:$A$104=D147)*('Normal Parameters'!$B$5:$B$104=E147)*('Normal Parameters'!$C$5:$C$104="Weight"),0)),9999),I147&lt;IFERROR(INDEX('Normal Parameters'!$E$5:$E$104,MATCH(1,('Normal Parameters'!$A$5:$A$104=D147)*('Normal Parameters'!$B$5:$B$104=E147)*('Normal Parameters'!$C$5:$C$104="Temperature"),0)),0),I147&gt;IFERROR(INDEX('Normal Parameters'!$G$5:$G$104,MATCH(1,('Normal Parameters'!$A$5:$A$104=D147)*('Normal Parameters'!$B$5:$B$104=E147)*('Normal Parameters'!$C$5:$C$104="Temperature"),0)),9999)),"Check","Normal"))</x:f>
      </x:c>
    </x:row>
    <x:row r="148" ht="15" hidden="0" customHeight="1">
      <x:c r="A148" s="74"/>
      <x:c r="B148" s="46"/>
      <x:c r="C148" s="46"/>
      <x:c r="D148" s="46" t="str">
        <x:f>IFERROR(XLOOKUP(C148,'Animals'!$A$5:$A$104,'Animals'!$C$5:$C$104,""),"")</x:f>
      </x:c>
      <x:c r="E148" s="46" t="str">
        <x:f>IFERROR(XLOOKUP(C148,'Animals'!$A$5:$A$104,'Animals'!$H$5:$H$104,""),"")</x:f>
      </x:c>
      <x:c r="F148" s="71"/>
      <x:c r="G148" s="71"/>
      <x:c r="H148" s="71"/>
      <x:c r="I148" s="71"/>
      <x:c r="J148" s="71"/>
      <x:c r="K148" s="46"/>
      <x:c r="L148" s="46"/>
      <x:c r="M148" s="46"/>
      <x:c r="N148" s="46"/>
      <x:c r="O148" s="46"/>
      <x:c r="P148" s="46"/>
      <x:c r="Q148" s="47" t="str">
        <x:f>IF(C148="","",IF(OR(J148&gt;IFERROR(INDEX('Normal Parameters'!$G$5:$G$104,MATCH(1,('Normal Parameters'!$A$5:$A$104=D148)*('Normal Parameters'!$B$5:$B$104=E148)*('Normal Parameters'!$C$5:$C$104="Behavior Score"),0)),99),F148&lt;IFERROR(INDEX('Normal Parameters'!$E$5:$E$104,MATCH(1,('Normal Parameters'!$A$5:$A$104=D148)*('Normal Parameters'!$B$5:$B$104=E148)*('Normal Parameters'!$C$5:$C$104="Weight"),0)),0),F148&gt;IFERROR(INDEX('Normal Parameters'!$G$5:$G$104,MATCH(1,('Normal Parameters'!$A$5:$A$104=D148)*('Normal Parameters'!$B$5:$B$104=E148)*('Normal Parameters'!$C$5:$C$104="Weight"),0)),9999),I148&lt;IFERROR(INDEX('Normal Parameters'!$E$5:$E$104,MATCH(1,('Normal Parameters'!$A$5:$A$104=D148)*('Normal Parameters'!$B$5:$B$104=E148)*('Normal Parameters'!$C$5:$C$104="Temperature"),0)),0),I148&gt;IFERROR(INDEX('Normal Parameters'!$G$5:$G$104,MATCH(1,('Normal Parameters'!$A$5:$A$104=D148)*('Normal Parameters'!$B$5:$B$104=E148)*('Normal Parameters'!$C$5:$C$104="Temperature"),0)),9999)),"Check","Normal"))</x:f>
      </x:c>
    </x:row>
    <x:row r="149" ht="15" hidden="0" customHeight="1">
      <x:c r="A149" s="74"/>
      <x:c r="B149" s="46"/>
      <x:c r="C149" s="46"/>
      <x:c r="D149" s="46" t="str">
        <x:f>IFERROR(XLOOKUP(C149,'Animals'!$A$5:$A$104,'Animals'!$C$5:$C$104,""),"")</x:f>
      </x:c>
      <x:c r="E149" s="46" t="str">
        <x:f>IFERROR(XLOOKUP(C149,'Animals'!$A$5:$A$104,'Animals'!$H$5:$H$104,""),"")</x:f>
      </x:c>
      <x:c r="F149" s="71"/>
      <x:c r="G149" s="71"/>
      <x:c r="H149" s="71"/>
      <x:c r="I149" s="71"/>
      <x:c r="J149" s="71"/>
      <x:c r="K149" s="46"/>
      <x:c r="L149" s="46"/>
      <x:c r="M149" s="46"/>
      <x:c r="N149" s="46"/>
      <x:c r="O149" s="46"/>
      <x:c r="P149" s="46"/>
      <x:c r="Q149" s="47" t="str">
        <x:f>IF(C149="","",IF(OR(J149&gt;IFERROR(INDEX('Normal Parameters'!$G$5:$G$104,MATCH(1,('Normal Parameters'!$A$5:$A$104=D149)*('Normal Parameters'!$B$5:$B$104=E149)*('Normal Parameters'!$C$5:$C$104="Behavior Score"),0)),99),F149&lt;IFERROR(INDEX('Normal Parameters'!$E$5:$E$104,MATCH(1,('Normal Parameters'!$A$5:$A$104=D149)*('Normal Parameters'!$B$5:$B$104=E149)*('Normal Parameters'!$C$5:$C$104="Weight"),0)),0),F149&gt;IFERROR(INDEX('Normal Parameters'!$G$5:$G$104,MATCH(1,('Normal Parameters'!$A$5:$A$104=D149)*('Normal Parameters'!$B$5:$B$104=E149)*('Normal Parameters'!$C$5:$C$104="Weight"),0)),9999),I149&lt;IFERROR(INDEX('Normal Parameters'!$E$5:$E$104,MATCH(1,('Normal Parameters'!$A$5:$A$104=D149)*('Normal Parameters'!$B$5:$B$104=E149)*('Normal Parameters'!$C$5:$C$104="Temperature"),0)),0),I149&gt;IFERROR(INDEX('Normal Parameters'!$G$5:$G$104,MATCH(1,('Normal Parameters'!$A$5:$A$104=D149)*('Normal Parameters'!$B$5:$B$104=E149)*('Normal Parameters'!$C$5:$C$104="Temperature"),0)),9999)),"Check","Normal"))</x:f>
      </x:c>
    </x:row>
    <x:row r="150" ht="15" hidden="0" customHeight="1">
      <x:c r="A150" s="74"/>
      <x:c r="B150" s="46"/>
      <x:c r="C150" s="46"/>
      <x:c r="D150" s="46" t="str">
        <x:f>IFERROR(XLOOKUP(C150,'Animals'!$A$5:$A$104,'Animals'!$C$5:$C$104,""),"")</x:f>
      </x:c>
      <x:c r="E150" s="46" t="str">
        <x:f>IFERROR(XLOOKUP(C150,'Animals'!$A$5:$A$104,'Animals'!$H$5:$H$104,""),"")</x:f>
      </x:c>
      <x:c r="F150" s="71"/>
      <x:c r="G150" s="71"/>
      <x:c r="H150" s="71"/>
      <x:c r="I150" s="71"/>
      <x:c r="J150" s="71"/>
      <x:c r="K150" s="46"/>
      <x:c r="L150" s="46"/>
      <x:c r="M150" s="46"/>
      <x:c r="N150" s="46"/>
      <x:c r="O150" s="46"/>
      <x:c r="P150" s="46"/>
      <x:c r="Q150" s="47" t="str">
        <x:f>IF(C150="","",IF(OR(J150&gt;IFERROR(INDEX('Normal Parameters'!$G$5:$G$104,MATCH(1,('Normal Parameters'!$A$5:$A$104=D150)*('Normal Parameters'!$B$5:$B$104=E150)*('Normal Parameters'!$C$5:$C$104="Behavior Score"),0)),99),F150&lt;IFERROR(INDEX('Normal Parameters'!$E$5:$E$104,MATCH(1,('Normal Parameters'!$A$5:$A$104=D150)*('Normal Parameters'!$B$5:$B$104=E150)*('Normal Parameters'!$C$5:$C$104="Weight"),0)),0),F150&gt;IFERROR(INDEX('Normal Parameters'!$G$5:$G$104,MATCH(1,('Normal Parameters'!$A$5:$A$104=D150)*('Normal Parameters'!$B$5:$B$104=E150)*('Normal Parameters'!$C$5:$C$104="Weight"),0)),9999),I150&lt;IFERROR(INDEX('Normal Parameters'!$E$5:$E$104,MATCH(1,('Normal Parameters'!$A$5:$A$104=D150)*('Normal Parameters'!$B$5:$B$104=E150)*('Normal Parameters'!$C$5:$C$104="Temperature"),0)),0),I150&gt;IFERROR(INDEX('Normal Parameters'!$G$5:$G$104,MATCH(1,('Normal Parameters'!$A$5:$A$104=D150)*('Normal Parameters'!$B$5:$B$104=E150)*('Normal Parameters'!$C$5:$C$104="Temperature"),0)),9999)),"Check","Normal"))</x:f>
      </x:c>
    </x:row>
    <x:row r="151" ht="15" hidden="0" customHeight="1">
      <x:c r="A151" s="74"/>
      <x:c r="B151" s="46"/>
      <x:c r="C151" s="46"/>
      <x:c r="D151" s="46" t="str">
        <x:f>IFERROR(XLOOKUP(C151,'Animals'!$A$5:$A$104,'Animals'!$C$5:$C$104,""),"")</x:f>
      </x:c>
      <x:c r="E151" s="46" t="str">
        <x:f>IFERROR(XLOOKUP(C151,'Animals'!$A$5:$A$104,'Animals'!$H$5:$H$104,""),"")</x:f>
      </x:c>
      <x:c r="F151" s="71"/>
      <x:c r="G151" s="71"/>
      <x:c r="H151" s="71"/>
      <x:c r="I151" s="71"/>
      <x:c r="J151" s="71"/>
      <x:c r="K151" s="46"/>
      <x:c r="L151" s="46"/>
      <x:c r="M151" s="46"/>
      <x:c r="N151" s="46"/>
      <x:c r="O151" s="46"/>
      <x:c r="P151" s="46"/>
      <x:c r="Q151" s="47" t="str">
        <x:f>IF(C151="","",IF(OR(J151&gt;IFERROR(INDEX('Normal Parameters'!$G$5:$G$104,MATCH(1,('Normal Parameters'!$A$5:$A$104=D151)*('Normal Parameters'!$B$5:$B$104=E151)*('Normal Parameters'!$C$5:$C$104="Behavior Score"),0)),99),F151&lt;IFERROR(INDEX('Normal Parameters'!$E$5:$E$104,MATCH(1,('Normal Parameters'!$A$5:$A$104=D151)*('Normal Parameters'!$B$5:$B$104=E151)*('Normal Parameters'!$C$5:$C$104="Weight"),0)),0),F151&gt;IFERROR(INDEX('Normal Parameters'!$G$5:$G$104,MATCH(1,('Normal Parameters'!$A$5:$A$104=D151)*('Normal Parameters'!$B$5:$B$104=E151)*('Normal Parameters'!$C$5:$C$104="Weight"),0)),9999),I151&lt;IFERROR(INDEX('Normal Parameters'!$E$5:$E$104,MATCH(1,('Normal Parameters'!$A$5:$A$104=D151)*('Normal Parameters'!$B$5:$B$104=E151)*('Normal Parameters'!$C$5:$C$104="Temperature"),0)),0),I151&gt;IFERROR(INDEX('Normal Parameters'!$G$5:$G$104,MATCH(1,('Normal Parameters'!$A$5:$A$104=D151)*('Normal Parameters'!$B$5:$B$104=E151)*('Normal Parameters'!$C$5:$C$104="Temperature"),0)),9999)),"Check","Normal"))</x:f>
      </x:c>
    </x:row>
    <x:row r="152" ht="15" hidden="0" customHeight="1">
      <x:c r="A152" s="74"/>
      <x:c r="B152" s="46"/>
      <x:c r="C152" s="46"/>
      <x:c r="D152" s="46" t="str">
        <x:f>IFERROR(XLOOKUP(C152,'Animals'!$A$5:$A$104,'Animals'!$C$5:$C$104,""),"")</x:f>
      </x:c>
      <x:c r="E152" s="46" t="str">
        <x:f>IFERROR(XLOOKUP(C152,'Animals'!$A$5:$A$104,'Animals'!$H$5:$H$104,""),"")</x:f>
      </x:c>
      <x:c r="F152" s="71"/>
      <x:c r="G152" s="71"/>
      <x:c r="H152" s="71"/>
      <x:c r="I152" s="71"/>
      <x:c r="J152" s="71"/>
      <x:c r="K152" s="46"/>
      <x:c r="L152" s="46"/>
      <x:c r="M152" s="46"/>
      <x:c r="N152" s="46"/>
      <x:c r="O152" s="46"/>
      <x:c r="P152" s="46"/>
      <x:c r="Q152" s="47" t="str">
        <x:f>IF(C152="","",IF(OR(J152&gt;IFERROR(INDEX('Normal Parameters'!$G$5:$G$104,MATCH(1,('Normal Parameters'!$A$5:$A$104=D152)*('Normal Parameters'!$B$5:$B$104=E152)*('Normal Parameters'!$C$5:$C$104="Behavior Score"),0)),99),F152&lt;IFERROR(INDEX('Normal Parameters'!$E$5:$E$104,MATCH(1,('Normal Parameters'!$A$5:$A$104=D152)*('Normal Parameters'!$B$5:$B$104=E152)*('Normal Parameters'!$C$5:$C$104="Weight"),0)),0),F152&gt;IFERROR(INDEX('Normal Parameters'!$G$5:$G$104,MATCH(1,('Normal Parameters'!$A$5:$A$104=D152)*('Normal Parameters'!$B$5:$B$104=E152)*('Normal Parameters'!$C$5:$C$104="Weight"),0)),9999),I152&lt;IFERROR(INDEX('Normal Parameters'!$E$5:$E$104,MATCH(1,('Normal Parameters'!$A$5:$A$104=D152)*('Normal Parameters'!$B$5:$B$104=E152)*('Normal Parameters'!$C$5:$C$104="Temperature"),0)),0),I152&gt;IFERROR(INDEX('Normal Parameters'!$G$5:$G$104,MATCH(1,('Normal Parameters'!$A$5:$A$104=D152)*('Normal Parameters'!$B$5:$B$104=E152)*('Normal Parameters'!$C$5:$C$104="Temperature"),0)),9999)),"Check","Normal"))</x:f>
      </x:c>
    </x:row>
    <x:row r="153" ht="15" hidden="0" customHeight="1">
      <x:c r="A153" s="74"/>
      <x:c r="B153" s="46"/>
      <x:c r="C153" s="46"/>
      <x:c r="D153" s="46" t="str">
        <x:f>IFERROR(XLOOKUP(C153,'Animals'!$A$5:$A$104,'Animals'!$C$5:$C$104,""),"")</x:f>
      </x:c>
      <x:c r="E153" s="46" t="str">
        <x:f>IFERROR(XLOOKUP(C153,'Animals'!$A$5:$A$104,'Animals'!$H$5:$H$104,""),"")</x:f>
      </x:c>
      <x:c r="F153" s="71"/>
      <x:c r="G153" s="71"/>
      <x:c r="H153" s="71"/>
      <x:c r="I153" s="71"/>
      <x:c r="J153" s="71"/>
      <x:c r="K153" s="46"/>
      <x:c r="L153" s="46"/>
      <x:c r="M153" s="46"/>
      <x:c r="N153" s="46"/>
      <x:c r="O153" s="46"/>
      <x:c r="P153" s="46"/>
      <x:c r="Q153" s="47" t="str">
        <x:f>IF(C153="","",IF(OR(J153&gt;IFERROR(INDEX('Normal Parameters'!$G$5:$G$104,MATCH(1,('Normal Parameters'!$A$5:$A$104=D153)*('Normal Parameters'!$B$5:$B$104=E153)*('Normal Parameters'!$C$5:$C$104="Behavior Score"),0)),99),F153&lt;IFERROR(INDEX('Normal Parameters'!$E$5:$E$104,MATCH(1,('Normal Parameters'!$A$5:$A$104=D153)*('Normal Parameters'!$B$5:$B$104=E153)*('Normal Parameters'!$C$5:$C$104="Weight"),0)),0),F153&gt;IFERROR(INDEX('Normal Parameters'!$G$5:$G$104,MATCH(1,('Normal Parameters'!$A$5:$A$104=D153)*('Normal Parameters'!$B$5:$B$104=E153)*('Normal Parameters'!$C$5:$C$104="Weight"),0)),9999),I153&lt;IFERROR(INDEX('Normal Parameters'!$E$5:$E$104,MATCH(1,('Normal Parameters'!$A$5:$A$104=D153)*('Normal Parameters'!$B$5:$B$104=E153)*('Normal Parameters'!$C$5:$C$104="Temperature"),0)),0),I153&gt;IFERROR(INDEX('Normal Parameters'!$G$5:$G$104,MATCH(1,('Normal Parameters'!$A$5:$A$104=D153)*('Normal Parameters'!$B$5:$B$104=E153)*('Normal Parameters'!$C$5:$C$104="Temperature"),0)),9999)),"Check","Normal"))</x:f>
      </x:c>
    </x:row>
    <x:row r="154" ht="15" hidden="0" customHeight="1">
      <x:c r="A154" s="74"/>
      <x:c r="B154" s="46"/>
      <x:c r="C154" s="46"/>
      <x:c r="D154" s="46" t="str">
        <x:f>IFERROR(XLOOKUP(C154,'Animals'!$A$5:$A$104,'Animals'!$C$5:$C$104,""),"")</x:f>
      </x:c>
      <x:c r="E154" s="46" t="str">
        <x:f>IFERROR(XLOOKUP(C154,'Animals'!$A$5:$A$104,'Animals'!$H$5:$H$104,""),"")</x:f>
      </x:c>
      <x:c r="F154" s="71"/>
      <x:c r="G154" s="71"/>
      <x:c r="H154" s="71"/>
      <x:c r="I154" s="71"/>
      <x:c r="J154" s="71"/>
      <x:c r="K154" s="46"/>
      <x:c r="L154" s="46"/>
      <x:c r="M154" s="46"/>
      <x:c r="N154" s="46"/>
      <x:c r="O154" s="46"/>
      <x:c r="P154" s="46"/>
      <x:c r="Q154" s="47" t="str">
        <x:f>IF(C154="","",IF(OR(J154&gt;IFERROR(INDEX('Normal Parameters'!$G$5:$G$104,MATCH(1,('Normal Parameters'!$A$5:$A$104=D154)*('Normal Parameters'!$B$5:$B$104=E154)*('Normal Parameters'!$C$5:$C$104="Behavior Score"),0)),99),F154&lt;IFERROR(INDEX('Normal Parameters'!$E$5:$E$104,MATCH(1,('Normal Parameters'!$A$5:$A$104=D154)*('Normal Parameters'!$B$5:$B$104=E154)*('Normal Parameters'!$C$5:$C$104="Weight"),0)),0),F154&gt;IFERROR(INDEX('Normal Parameters'!$G$5:$G$104,MATCH(1,('Normal Parameters'!$A$5:$A$104=D154)*('Normal Parameters'!$B$5:$B$104=E154)*('Normal Parameters'!$C$5:$C$104="Weight"),0)),9999),I154&lt;IFERROR(INDEX('Normal Parameters'!$E$5:$E$104,MATCH(1,('Normal Parameters'!$A$5:$A$104=D154)*('Normal Parameters'!$B$5:$B$104=E154)*('Normal Parameters'!$C$5:$C$104="Temperature"),0)),0),I154&gt;IFERROR(INDEX('Normal Parameters'!$G$5:$G$104,MATCH(1,('Normal Parameters'!$A$5:$A$104=D154)*('Normal Parameters'!$B$5:$B$104=E154)*('Normal Parameters'!$C$5:$C$104="Temperature"),0)),9999)),"Check","Normal"))</x:f>
      </x:c>
    </x:row>
    <x:row r="155" ht="15" hidden="0" customHeight="1">
      <x:c r="A155" s="74"/>
      <x:c r="B155" s="46"/>
      <x:c r="C155" s="46"/>
      <x:c r="D155" s="46" t="str">
        <x:f>IFERROR(XLOOKUP(C155,'Animals'!$A$5:$A$104,'Animals'!$C$5:$C$104,""),"")</x:f>
      </x:c>
      <x:c r="E155" s="46" t="str">
        <x:f>IFERROR(XLOOKUP(C155,'Animals'!$A$5:$A$104,'Animals'!$H$5:$H$104,""),"")</x:f>
      </x:c>
      <x:c r="F155" s="71"/>
      <x:c r="G155" s="71"/>
      <x:c r="H155" s="71"/>
      <x:c r="I155" s="71"/>
      <x:c r="J155" s="71"/>
      <x:c r="K155" s="46"/>
      <x:c r="L155" s="46"/>
      <x:c r="M155" s="46"/>
      <x:c r="N155" s="46"/>
      <x:c r="O155" s="46"/>
      <x:c r="P155" s="46"/>
      <x:c r="Q155" s="47" t="str">
        <x:f>IF(C155="","",IF(OR(J155&gt;IFERROR(INDEX('Normal Parameters'!$G$5:$G$104,MATCH(1,('Normal Parameters'!$A$5:$A$104=D155)*('Normal Parameters'!$B$5:$B$104=E155)*('Normal Parameters'!$C$5:$C$104="Behavior Score"),0)),99),F155&lt;IFERROR(INDEX('Normal Parameters'!$E$5:$E$104,MATCH(1,('Normal Parameters'!$A$5:$A$104=D155)*('Normal Parameters'!$B$5:$B$104=E155)*('Normal Parameters'!$C$5:$C$104="Weight"),0)),0),F155&gt;IFERROR(INDEX('Normal Parameters'!$G$5:$G$104,MATCH(1,('Normal Parameters'!$A$5:$A$104=D155)*('Normal Parameters'!$B$5:$B$104=E155)*('Normal Parameters'!$C$5:$C$104="Weight"),0)),9999),I155&lt;IFERROR(INDEX('Normal Parameters'!$E$5:$E$104,MATCH(1,('Normal Parameters'!$A$5:$A$104=D155)*('Normal Parameters'!$B$5:$B$104=E155)*('Normal Parameters'!$C$5:$C$104="Temperature"),0)),0),I155&gt;IFERROR(INDEX('Normal Parameters'!$G$5:$G$104,MATCH(1,('Normal Parameters'!$A$5:$A$104=D155)*('Normal Parameters'!$B$5:$B$104=E155)*('Normal Parameters'!$C$5:$C$104="Temperature"),0)),9999)),"Check","Normal"))</x:f>
      </x:c>
    </x:row>
    <x:row r="156" ht="15" hidden="0" customHeight="1">
      <x:c r="A156" s="74"/>
      <x:c r="B156" s="46"/>
      <x:c r="C156" s="46"/>
      <x:c r="D156" s="46" t="str">
        <x:f>IFERROR(XLOOKUP(C156,'Animals'!$A$5:$A$104,'Animals'!$C$5:$C$104,""),"")</x:f>
      </x:c>
      <x:c r="E156" s="46" t="str">
        <x:f>IFERROR(XLOOKUP(C156,'Animals'!$A$5:$A$104,'Animals'!$H$5:$H$104,""),"")</x:f>
      </x:c>
      <x:c r="F156" s="71"/>
      <x:c r="G156" s="71"/>
      <x:c r="H156" s="71"/>
      <x:c r="I156" s="71"/>
      <x:c r="J156" s="71"/>
      <x:c r="K156" s="46"/>
      <x:c r="L156" s="46"/>
      <x:c r="M156" s="46"/>
      <x:c r="N156" s="46"/>
      <x:c r="O156" s="46"/>
      <x:c r="P156" s="46"/>
      <x:c r="Q156" s="47" t="str">
        <x:f>IF(C156="","",IF(OR(J156&gt;IFERROR(INDEX('Normal Parameters'!$G$5:$G$104,MATCH(1,('Normal Parameters'!$A$5:$A$104=D156)*('Normal Parameters'!$B$5:$B$104=E156)*('Normal Parameters'!$C$5:$C$104="Behavior Score"),0)),99),F156&lt;IFERROR(INDEX('Normal Parameters'!$E$5:$E$104,MATCH(1,('Normal Parameters'!$A$5:$A$104=D156)*('Normal Parameters'!$B$5:$B$104=E156)*('Normal Parameters'!$C$5:$C$104="Weight"),0)),0),F156&gt;IFERROR(INDEX('Normal Parameters'!$G$5:$G$104,MATCH(1,('Normal Parameters'!$A$5:$A$104=D156)*('Normal Parameters'!$B$5:$B$104=E156)*('Normal Parameters'!$C$5:$C$104="Weight"),0)),9999),I156&lt;IFERROR(INDEX('Normal Parameters'!$E$5:$E$104,MATCH(1,('Normal Parameters'!$A$5:$A$104=D156)*('Normal Parameters'!$B$5:$B$104=E156)*('Normal Parameters'!$C$5:$C$104="Temperature"),0)),0),I156&gt;IFERROR(INDEX('Normal Parameters'!$G$5:$G$104,MATCH(1,('Normal Parameters'!$A$5:$A$104=D156)*('Normal Parameters'!$B$5:$B$104=E156)*('Normal Parameters'!$C$5:$C$104="Temperature"),0)),9999)),"Check","Normal"))</x:f>
      </x:c>
    </x:row>
    <x:row r="157" ht="15" hidden="0" customHeight="1">
      <x:c r="A157" s="74"/>
      <x:c r="B157" s="46"/>
      <x:c r="C157" s="46"/>
      <x:c r="D157" s="46" t="str">
        <x:f>IFERROR(XLOOKUP(C157,'Animals'!$A$5:$A$104,'Animals'!$C$5:$C$104,""),"")</x:f>
      </x:c>
      <x:c r="E157" s="46" t="str">
        <x:f>IFERROR(XLOOKUP(C157,'Animals'!$A$5:$A$104,'Animals'!$H$5:$H$104,""),"")</x:f>
      </x:c>
      <x:c r="F157" s="71"/>
      <x:c r="G157" s="71"/>
      <x:c r="H157" s="71"/>
      <x:c r="I157" s="71"/>
      <x:c r="J157" s="71"/>
      <x:c r="K157" s="46"/>
      <x:c r="L157" s="46"/>
      <x:c r="M157" s="46"/>
      <x:c r="N157" s="46"/>
      <x:c r="O157" s="46"/>
      <x:c r="P157" s="46"/>
      <x:c r="Q157" s="47" t="str">
        <x:f>IF(C157="","",IF(OR(J157&gt;IFERROR(INDEX('Normal Parameters'!$G$5:$G$104,MATCH(1,('Normal Parameters'!$A$5:$A$104=D157)*('Normal Parameters'!$B$5:$B$104=E157)*('Normal Parameters'!$C$5:$C$104="Behavior Score"),0)),99),F157&lt;IFERROR(INDEX('Normal Parameters'!$E$5:$E$104,MATCH(1,('Normal Parameters'!$A$5:$A$104=D157)*('Normal Parameters'!$B$5:$B$104=E157)*('Normal Parameters'!$C$5:$C$104="Weight"),0)),0),F157&gt;IFERROR(INDEX('Normal Parameters'!$G$5:$G$104,MATCH(1,('Normal Parameters'!$A$5:$A$104=D157)*('Normal Parameters'!$B$5:$B$104=E157)*('Normal Parameters'!$C$5:$C$104="Weight"),0)),9999),I157&lt;IFERROR(INDEX('Normal Parameters'!$E$5:$E$104,MATCH(1,('Normal Parameters'!$A$5:$A$104=D157)*('Normal Parameters'!$B$5:$B$104=E157)*('Normal Parameters'!$C$5:$C$104="Temperature"),0)),0),I157&gt;IFERROR(INDEX('Normal Parameters'!$G$5:$G$104,MATCH(1,('Normal Parameters'!$A$5:$A$104=D157)*('Normal Parameters'!$B$5:$B$104=E157)*('Normal Parameters'!$C$5:$C$104="Temperature"),0)),9999)),"Check","Normal"))</x:f>
      </x:c>
    </x:row>
    <x:row r="158" ht="15" hidden="0" customHeight="1">
      <x:c r="A158" s="74"/>
      <x:c r="B158" s="46"/>
      <x:c r="C158" s="46"/>
      <x:c r="D158" s="46" t="str">
        <x:f>IFERROR(XLOOKUP(C158,'Animals'!$A$5:$A$104,'Animals'!$C$5:$C$104,""),"")</x:f>
      </x:c>
      <x:c r="E158" s="46" t="str">
        <x:f>IFERROR(XLOOKUP(C158,'Animals'!$A$5:$A$104,'Animals'!$H$5:$H$104,""),"")</x:f>
      </x:c>
      <x:c r="F158" s="71"/>
      <x:c r="G158" s="71"/>
      <x:c r="H158" s="71"/>
      <x:c r="I158" s="71"/>
      <x:c r="J158" s="71"/>
      <x:c r="K158" s="46"/>
      <x:c r="L158" s="46"/>
      <x:c r="M158" s="46"/>
      <x:c r="N158" s="46"/>
      <x:c r="O158" s="46"/>
      <x:c r="P158" s="46"/>
      <x:c r="Q158" s="47" t="str">
        <x:f>IF(C158="","",IF(OR(J158&gt;IFERROR(INDEX('Normal Parameters'!$G$5:$G$104,MATCH(1,('Normal Parameters'!$A$5:$A$104=D158)*('Normal Parameters'!$B$5:$B$104=E158)*('Normal Parameters'!$C$5:$C$104="Behavior Score"),0)),99),F158&lt;IFERROR(INDEX('Normal Parameters'!$E$5:$E$104,MATCH(1,('Normal Parameters'!$A$5:$A$104=D158)*('Normal Parameters'!$B$5:$B$104=E158)*('Normal Parameters'!$C$5:$C$104="Weight"),0)),0),F158&gt;IFERROR(INDEX('Normal Parameters'!$G$5:$G$104,MATCH(1,('Normal Parameters'!$A$5:$A$104=D158)*('Normal Parameters'!$B$5:$B$104=E158)*('Normal Parameters'!$C$5:$C$104="Weight"),0)),9999),I158&lt;IFERROR(INDEX('Normal Parameters'!$E$5:$E$104,MATCH(1,('Normal Parameters'!$A$5:$A$104=D158)*('Normal Parameters'!$B$5:$B$104=E158)*('Normal Parameters'!$C$5:$C$104="Temperature"),0)),0),I158&gt;IFERROR(INDEX('Normal Parameters'!$G$5:$G$104,MATCH(1,('Normal Parameters'!$A$5:$A$104=D158)*('Normal Parameters'!$B$5:$B$104=E158)*('Normal Parameters'!$C$5:$C$104="Temperature"),0)),9999)),"Check","Normal"))</x:f>
      </x:c>
    </x:row>
    <x:row r="159" ht="15" hidden="0" customHeight="1">
      <x:c r="A159" s="74"/>
      <x:c r="B159" s="46"/>
      <x:c r="C159" s="46"/>
      <x:c r="D159" s="46" t="str">
        <x:f>IFERROR(XLOOKUP(C159,'Animals'!$A$5:$A$104,'Animals'!$C$5:$C$104,""),"")</x:f>
      </x:c>
      <x:c r="E159" s="46" t="str">
        <x:f>IFERROR(XLOOKUP(C159,'Animals'!$A$5:$A$104,'Animals'!$H$5:$H$104,""),"")</x:f>
      </x:c>
      <x:c r="F159" s="71"/>
      <x:c r="G159" s="71"/>
      <x:c r="H159" s="71"/>
      <x:c r="I159" s="71"/>
      <x:c r="J159" s="71"/>
      <x:c r="K159" s="46"/>
      <x:c r="L159" s="46"/>
      <x:c r="M159" s="46"/>
      <x:c r="N159" s="46"/>
      <x:c r="O159" s="46"/>
      <x:c r="P159" s="46"/>
      <x:c r="Q159" s="47" t="str">
        <x:f>IF(C159="","",IF(OR(J159&gt;IFERROR(INDEX('Normal Parameters'!$G$5:$G$104,MATCH(1,('Normal Parameters'!$A$5:$A$104=D159)*('Normal Parameters'!$B$5:$B$104=E159)*('Normal Parameters'!$C$5:$C$104="Behavior Score"),0)),99),F159&lt;IFERROR(INDEX('Normal Parameters'!$E$5:$E$104,MATCH(1,('Normal Parameters'!$A$5:$A$104=D159)*('Normal Parameters'!$B$5:$B$104=E159)*('Normal Parameters'!$C$5:$C$104="Weight"),0)),0),F159&gt;IFERROR(INDEX('Normal Parameters'!$G$5:$G$104,MATCH(1,('Normal Parameters'!$A$5:$A$104=D159)*('Normal Parameters'!$B$5:$B$104=E159)*('Normal Parameters'!$C$5:$C$104="Weight"),0)),9999),I159&lt;IFERROR(INDEX('Normal Parameters'!$E$5:$E$104,MATCH(1,('Normal Parameters'!$A$5:$A$104=D159)*('Normal Parameters'!$B$5:$B$104=E159)*('Normal Parameters'!$C$5:$C$104="Temperature"),0)),0),I159&gt;IFERROR(INDEX('Normal Parameters'!$G$5:$G$104,MATCH(1,('Normal Parameters'!$A$5:$A$104=D159)*('Normal Parameters'!$B$5:$B$104=E159)*('Normal Parameters'!$C$5:$C$104="Temperature"),0)),9999)),"Check","Normal"))</x:f>
      </x:c>
    </x:row>
    <x:row r="160" ht="15" hidden="0" customHeight="1">
      <x:c r="A160" s="74"/>
      <x:c r="B160" s="46"/>
      <x:c r="C160" s="46"/>
      <x:c r="D160" s="46" t="str">
        <x:f>IFERROR(XLOOKUP(C160,'Animals'!$A$5:$A$104,'Animals'!$C$5:$C$104,""),"")</x:f>
      </x:c>
      <x:c r="E160" s="46" t="str">
        <x:f>IFERROR(XLOOKUP(C160,'Animals'!$A$5:$A$104,'Animals'!$H$5:$H$104,""),"")</x:f>
      </x:c>
      <x:c r="F160" s="71"/>
      <x:c r="G160" s="71"/>
      <x:c r="H160" s="71"/>
      <x:c r="I160" s="71"/>
      <x:c r="J160" s="71"/>
      <x:c r="K160" s="46"/>
      <x:c r="L160" s="46"/>
      <x:c r="M160" s="46"/>
      <x:c r="N160" s="46"/>
      <x:c r="O160" s="46"/>
      <x:c r="P160" s="46"/>
      <x:c r="Q160" s="47" t="str">
        <x:f>IF(C160="","",IF(OR(J160&gt;IFERROR(INDEX('Normal Parameters'!$G$5:$G$104,MATCH(1,('Normal Parameters'!$A$5:$A$104=D160)*('Normal Parameters'!$B$5:$B$104=E160)*('Normal Parameters'!$C$5:$C$104="Behavior Score"),0)),99),F160&lt;IFERROR(INDEX('Normal Parameters'!$E$5:$E$104,MATCH(1,('Normal Parameters'!$A$5:$A$104=D160)*('Normal Parameters'!$B$5:$B$104=E160)*('Normal Parameters'!$C$5:$C$104="Weight"),0)),0),F160&gt;IFERROR(INDEX('Normal Parameters'!$G$5:$G$104,MATCH(1,('Normal Parameters'!$A$5:$A$104=D160)*('Normal Parameters'!$B$5:$B$104=E160)*('Normal Parameters'!$C$5:$C$104="Weight"),0)),9999),I160&lt;IFERROR(INDEX('Normal Parameters'!$E$5:$E$104,MATCH(1,('Normal Parameters'!$A$5:$A$104=D160)*('Normal Parameters'!$B$5:$B$104=E160)*('Normal Parameters'!$C$5:$C$104="Temperature"),0)),0),I160&gt;IFERROR(INDEX('Normal Parameters'!$G$5:$G$104,MATCH(1,('Normal Parameters'!$A$5:$A$104=D160)*('Normal Parameters'!$B$5:$B$104=E160)*('Normal Parameters'!$C$5:$C$104="Temperature"),0)),9999)),"Check","Normal"))</x:f>
      </x:c>
    </x:row>
    <x:row r="161" ht="15" hidden="0" customHeight="1">
      <x:c r="A161" s="74"/>
      <x:c r="B161" s="46"/>
      <x:c r="C161" s="46"/>
      <x:c r="D161" s="46" t="str">
        <x:f>IFERROR(XLOOKUP(C161,'Animals'!$A$5:$A$104,'Animals'!$C$5:$C$104,""),"")</x:f>
      </x:c>
      <x:c r="E161" s="46" t="str">
        <x:f>IFERROR(XLOOKUP(C161,'Animals'!$A$5:$A$104,'Animals'!$H$5:$H$104,""),"")</x:f>
      </x:c>
      <x:c r="F161" s="71"/>
      <x:c r="G161" s="71"/>
      <x:c r="H161" s="71"/>
      <x:c r="I161" s="71"/>
      <x:c r="J161" s="71"/>
      <x:c r="K161" s="46"/>
      <x:c r="L161" s="46"/>
      <x:c r="M161" s="46"/>
      <x:c r="N161" s="46"/>
      <x:c r="O161" s="46"/>
      <x:c r="P161" s="46"/>
      <x:c r="Q161" s="47" t="str">
        <x:f>IF(C161="","",IF(OR(J161&gt;IFERROR(INDEX('Normal Parameters'!$G$5:$G$104,MATCH(1,('Normal Parameters'!$A$5:$A$104=D161)*('Normal Parameters'!$B$5:$B$104=E161)*('Normal Parameters'!$C$5:$C$104="Behavior Score"),0)),99),F161&lt;IFERROR(INDEX('Normal Parameters'!$E$5:$E$104,MATCH(1,('Normal Parameters'!$A$5:$A$104=D161)*('Normal Parameters'!$B$5:$B$104=E161)*('Normal Parameters'!$C$5:$C$104="Weight"),0)),0),F161&gt;IFERROR(INDEX('Normal Parameters'!$G$5:$G$104,MATCH(1,('Normal Parameters'!$A$5:$A$104=D161)*('Normal Parameters'!$B$5:$B$104=E161)*('Normal Parameters'!$C$5:$C$104="Weight"),0)),9999),I161&lt;IFERROR(INDEX('Normal Parameters'!$E$5:$E$104,MATCH(1,('Normal Parameters'!$A$5:$A$104=D161)*('Normal Parameters'!$B$5:$B$104=E161)*('Normal Parameters'!$C$5:$C$104="Temperature"),0)),0),I161&gt;IFERROR(INDEX('Normal Parameters'!$G$5:$G$104,MATCH(1,('Normal Parameters'!$A$5:$A$104=D161)*('Normal Parameters'!$B$5:$B$104=E161)*('Normal Parameters'!$C$5:$C$104="Temperature"),0)),9999)),"Check","Normal"))</x:f>
      </x:c>
    </x:row>
    <x:row r="162" ht="15" hidden="0" customHeight="1">
      <x:c r="A162" s="74"/>
      <x:c r="B162" s="46"/>
      <x:c r="C162" s="46"/>
      <x:c r="D162" s="46" t="str">
        <x:f>IFERROR(XLOOKUP(C162,'Animals'!$A$5:$A$104,'Animals'!$C$5:$C$104,""),"")</x:f>
      </x:c>
      <x:c r="E162" s="46" t="str">
        <x:f>IFERROR(XLOOKUP(C162,'Animals'!$A$5:$A$104,'Animals'!$H$5:$H$104,""),"")</x:f>
      </x:c>
      <x:c r="F162" s="71"/>
      <x:c r="G162" s="71"/>
      <x:c r="H162" s="71"/>
      <x:c r="I162" s="71"/>
      <x:c r="J162" s="71"/>
      <x:c r="K162" s="46"/>
      <x:c r="L162" s="46"/>
      <x:c r="M162" s="46"/>
      <x:c r="N162" s="46"/>
      <x:c r="O162" s="46"/>
      <x:c r="P162" s="46"/>
      <x:c r="Q162" s="47" t="str">
        <x:f>IF(C162="","",IF(OR(J162&gt;IFERROR(INDEX('Normal Parameters'!$G$5:$G$104,MATCH(1,('Normal Parameters'!$A$5:$A$104=D162)*('Normal Parameters'!$B$5:$B$104=E162)*('Normal Parameters'!$C$5:$C$104="Behavior Score"),0)),99),F162&lt;IFERROR(INDEX('Normal Parameters'!$E$5:$E$104,MATCH(1,('Normal Parameters'!$A$5:$A$104=D162)*('Normal Parameters'!$B$5:$B$104=E162)*('Normal Parameters'!$C$5:$C$104="Weight"),0)),0),F162&gt;IFERROR(INDEX('Normal Parameters'!$G$5:$G$104,MATCH(1,('Normal Parameters'!$A$5:$A$104=D162)*('Normal Parameters'!$B$5:$B$104=E162)*('Normal Parameters'!$C$5:$C$104="Weight"),0)),9999),I162&lt;IFERROR(INDEX('Normal Parameters'!$E$5:$E$104,MATCH(1,('Normal Parameters'!$A$5:$A$104=D162)*('Normal Parameters'!$B$5:$B$104=E162)*('Normal Parameters'!$C$5:$C$104="Temperature"),0)),0),I162&gt;IFERROR(INDEX('Normal Parameters'!$G$5:$G$104,MATCH(1,('Normal Parameters'!$A$5:$A$104=D162)*('Normal Parameters'!$B$5:$B$104=E162)*('Normal Parameters'!$C$5:$C$104="Temperature"),0)),9999)),"Check","Normal"))</x:f>
      </x:c>
    </x:row>
    <x:row r="163" ht="15" hidden="0" customHeight="1">
      <x:c r="A163" s="74"/>
      <x:c r="B163" s="46"/>
      <x:c r="C163" s="46"/>
      <x:c r="D163" s="46" t="str">
        <x:f>IFERROR(XLOOKUP(C163,'Animals'!$A$5:$A$104,'Animals'!$C$5:$C$104,""),"")</x:f>
      </x:c>
      <x:c r="E163" s="46" t="str">
        <x:f>IFERROR(XLOOKUP(C163,'Animals'!$A$5:$A$104,'Animals'!$H$5:$H$104,""),"")</x:f>
      </x:c>
      <x:c r="F163" s="71"/>
      <x:c r="G163" s="71"/>
      <x:c r="H163" s="71"/>
      <x:c r="I163" s="71"/>
      <x:c r="J163" s="71"/>
      <x:c r="K163" s="46"/>
      <x:c r="L163" s="46"/>
      <x:c r="M163" s="46"/>
      <x:c r="N163" s="46"/>
      <x:c r="O163" s="46"/>
      <x:c r="P163" s="46"/>
      <x:c r="Q163" s="47" t="str">
        <x:f>IF(C163="","",IF(OR(J163&gt;IFERROR(INDEX('Normal Parameters'!$G$5:$G$104,MATCH(1,('Normal Parameters'!$A$5:$A$104=D163)*('Normal Parameters'!$B$5:$B$104=E163)*('Normal Parameters'!$C$5:$C$104="Behavior Score"),0)),99),F163&lt;IFERROR(INDEX('Normal Parameters'!$E$5:$E$104,MATCH(1,('Normal Parameters'!$A$5:$A$104=D163)*('Normal Parameters'!$B$5:$B$104=E163)*('Normal Parameters'!$C$5:$C$104="Weight"),0)),0),F163&gt;IFERROR(INDEX('Normal Parameters'!$G$5:$G$104,MATCH(1,('Normal Parameters'!$A$5:$A$104=D163)*('Normal Parameters'!$B$5:$B$104=E163)*('Normal Parameters'!$C$5:$C$104="Weight"),0)),9999),I163&lt;IFERROR(INDEX('Normal Parameters'!$E$5:$E$104,MATCH(1,('Normal Parameters'!$A$5:$A$104=D163)*('Normal Parameters'!$B$5:$B$104=E163)*('Normal Parameters'!$C$5:$C$104="Temperature"),0)),0),I163&gt;IFERROR(INDEX('Normal Parameters'!$G$5:$G$104,MATCH(1,('Normal Parameters'!$A$5:$A$104=D163)*('Normal Parameters'!$B$5:$B$104=E163)*('Normal Parameters'!$C$5:$C$104="Temperature"),0)),9999)),"Check","Normal"))</x:f>
      </x:c>
    </x:row>
    <x:row r="164" ht="15" hidden="0" customHeight="1">
      <x:c r="A164" s="74"/>
      <x:c r="B164" s="46"/>
      <x:c r="C164" s="46"/>
      <x:c r="D164" s="46" t="str">
        <x:f>IFERROR(XLOOKUP(C164,'Animals'!$A$5:$A$104,'Animals'!$C$5:$C$104,""),"")</x:f>
      </x:c>
      <x:c r="E164" s="46" t="str">
        <x:f>IFERROR(XLOOKUP(C164,'Animals'!$A$5:$A$104,'Animals'!$H$5:$H$104,""),"")</x:f>
      </x:c>
      <x:c r="F164" s="71"/>
      <x:c r="G164" s="71"/>
      <x:c r="H164" s="71"/>
      <x:c r="I164" s="71"/>
      <x:c r="J164" s="71"/>
      <x:c r="K164" s="46"/>
      <x:c r="L164" s="46"/>
      <x:c r="M164" s="46"/>
      <x:c r="N164" s="46"/>
      <x:c r="O164" s="46"/>
      <x:c r="P164" s="46"/>
      <x:c r="Q164" s="47" t="str">
        <x:f>IF(C164="","",IF(OR(J164&gt;IFERROR(INDEX('Normal Parameters'!$G$5:$G$104,MATCH(1,('Normal Parameters'!$A$5:$A$104=D164)*('Normal Parameters'!$B$5:$B$104=E164)*('Normal Parameters'!$C$5:$C$104="Behavior Score"),0)),99),F164&lt;IFERROR(INDEX('Normal Parameters'!$E$5:$E$104,MATCH(1,('Normal Parameters'!$A$5:$A$104=D164)*('Normal Parameters'!$B$5:$B$104=E164)*('Normal Parameters'!$C$5:$C$104="Weight"),0)),0),F164&gt;IFERROR(INDEX('Normal Parameters'!$G$5:$G$104,MATCH(1,('Normal Parameters'!$A$5:$A$104=D164)*('Normal Parameters'!$B$5:$B$104=E164)*('Normal Parameters'!$C$5:$C$104="Weight"),0)),9999),I164&lt;IFERROR(INDEX('Normal Parameters'!$E$5:$E$104,MATCH(1,('Normal Parameters'!$A$5:$A$104=D164)*('Normal Parameters'!$B$5:$B$104=E164)*('Normal Parameters'!$C$5:$C$104="Temperature"),0)),0),I164&gt;IFERROR(INDEX('Normal Parameters'!$G$5:$G$104,MATCH(1,('Normal Parameters'!$A$5:$A$104=D164)*('Normal Parameters'!$B$5:$B$104=E164)*('Normal Parameters'!$C$5:$C$104="Temperature"),0)),9999)),"Check","Normal"))</x:f>
      </x:c>
    </x:row>
    <x:row r="165" ht="15" hidden="0" customHeight="1">
      <x:c r="A165" s="74"/>
      <x:c r="B165" s="46"/>
      <x:c r="C165" s="46"/>
      <x:c r="D165" s="46" t="str">
        <x:f>IFERROR(XLOOKUP(C165,'Animals'!$A$5:$A$104,'Animals'!$C$5:$C$104,""),"")</x:f>
      </x:c>
      <x:c r="E165" s="46" t="str">
        <x:f>IFERROR(XLOOKUP(C165,'Animals'!$A$5:$A$104,'Animals'!$H$5:$H$104,""),"")</x:f>
      </x:c>
      <x:c r="F165" s="71"/>
      <x:c r="G165" s="71"/>
      <x:c r="H165" s="71"/>
      <x:c r="I165" s="71"/>
      <x:c r="J165" s="71"/>
      <x:c r="K165" s="46"/>
      <x:c r="L165" s="46"/>
      <x:c r="M165" s="46"/>
      <x:c r="N165" s="46"/>
      <x:c r="O165" s="46"/>
      <x:c r="P165" s="46"/>
      <x:c r="Q165" s="47" t="str">
        <x:f>IF(C165="","",IF(OR(J165&gt;IFERROR(INDEX('Normal Parameters'!$G$5:$G$104,MATCH(1,('Normal Parameters'!$A$5:$A$104=D165)*('Normal Parameters'!$B$5:$B$104=E165)*('Normal Parameters'!$C$5:$C$104="Behavior Score"),0)),99),F165&lt;IFERROR(INDEX('Normal Parameters'!$E$5:$E$104,MATCH(1,('Normal Parameters'!$A$5:$A$104=D165)*('Normal Parameters'!$B$5:$B$104=E165)*('Normal Parameters'!$C$5:$C$104="Weight"),0)),0),F165&gt;IFERROR(INDEX('Normal Parameters'!$G$5:$G$104,MATCH(1,('Normal Parameters'!$A$5:$A$104=D165)*('Normal Parameters'!$B$5:$B$104=E165)*('Normal Parameters'!$C$5:$C$104="Weight"),0)),9999),I165&lt;IFERROR(INDEX('Normal Parameters'!$E$5:$E$104,MATCH(1,('Normal Parameters'!$A$5:$A$104=D165)*('Normal Parameters'!$B$5:$B$104=E165)*('Normal Parameters'!$C$5:$C$104="Temperature"),0)),0),I165&gt;IFERROR(INDEX('Normal Parameters'!$G$5:$G$104,MATCH(1,('Normal Parameters'!$A$5:$A$104=D165)*('Normal Parameters'!$B$5:$B$104=E165)*('Normal Parameters'!$C$5:$C$104="Temperature"),0)),9999)),"Check","Normal"))</x:f>
      </x:c>
    </x:row>
    <x:row r="166" ht="15" hidden="0" customHeight="1">
      <x:c r="A166" s="74"/>
      <x:c r="B166" s="46"/>
      <x:c r="C166" s="46"/>
      <x:c r="D166" s="46" t="str">
        <x:f>IFERROR(XLOOKUP(C166,'Animals'!$A$5:$A$104,'Animals'!$C$5:$C$104,""),"")</x:f>
      </x:c>
      <x:c r="E166" s="46" t="str">
        <x:f>IFERROR(XLOOKUP(C166,'Animals'!$A$5:$A$104,'Animals'!$H$5:$H$104,""),"")</x:f>
      </x:c>
      <x:c r="F166" s="71"/>
      <x:c r="G166" s="71"/>
      <x:c r="H166" s="71"/>
      <x:c r="I166" s="71"/>
      <x:c r="J166" s="71"/>
      <x:c r="K166" s="46"/>
      <x:c r="L166" s="46"/>
      <x:c r="M166" s="46"/>
      <x:c r="N166" s="46"/>
      <x:c r="O166" s="46"/>
      <x:c r="P166" s="46"/>
      <x:c r="Q166" s="47" t="str">
        <x:f>IF(C166="","",IF(OR(J166&gt;IFERROR(INDEX('Normal Parameters'!$G$5:$G$104,MATCH(1,('Normal Parameters'!$A$5:$A$104=D166)*('Normal Parameters'!$B$5:$B$104=E166)*('Normal Parameters'!$C$5:$C$104="Behavior Score"),0)),99),F166&lt;IFERROR(INDEX('Normal Parameters'!$E$5:$E$104,MATCH(1,('Normal Parameters'!$A$5:$A$104=D166)*('Normal Parameters'!$B$5:$B$104=E166)*('Normal Parameters'!$C$5:$C$104="Weight"),0)),0),F166&gt;IFERROR(INDEX('Normal Parameters'!$G$5:$G$104,MATCH(1,('Normal Parameters'!$A$5:$A$104=D166)*('Normal Parameters'!$B$5:$B$104=E166)*('Normal Parameters'!$C$5:$C$104="Weight"),0)),9999),I166&lt;IFERROR(INDEX('Normal Parameters'!$E$5:$E$104,MATCH(1,('Normal Parameters'!$A$5:$A$104=D166)*('Normal Parameters'!$B$5:$B$104=E166)*('Normal Parameters'!$C$5:$C$104="Temperature"),0)),0),I166&gt;IFERROR(INDEX('Normal Parameters'!$G$5:$G$104,MATCH(1,('Normal Parameters'!$A$5:$A$104=D166)*('Normal Parameters'!$B$5:$B$104=E166)*('Normal Parameters'!$C$5:$C$104="Temperature"),0)),9999)),"Check","Normal"))</x:f>
      </x:c>
    </x:row>
    <x:row r="167" ht="15" hidden="0" customHeight="1">
      <x:c r="A167" s="74"/>
      <x:c r="B167" s="46"/>
      <x:c r="C167" s="46"/>
      <x:c r="D167" s="46" t="str">
        <x:f>IFERROR(XLOOKUP(C167,'Animals'!$A$5:$A$104,'Animals'!$C$5:$C$104,""),"")</x:f>
      </x:c>
      <x:c r="E167" s="46" t="str">
        <x:f>IFERROR(XLOOKUP(C167,'Animals'!$A$5:$A$104,'Animals'!$H$5:$H$104,""),"")</x:f>
      </x:c>
      <x:c r="F167" s="71"/>
      <x:c r="G167" s="71"/>
      <x:c r="H167" s="71"/>
      <x:c r="I167" s="71"/>
      <x:c r="J167" s="71"/>
      <x:c r="K167" s="46"/>
      <x:c r="L167" s="46"/>
      <x:c r="M167" s="46"/>
      <x:c r="N167" s="46"/>
      <x:c r="O167" s="46"/>
      <x:c r="P167" s="46"/>
      <x:c r="Q167" s="47" t="str">
        <x:f>IF(C167="","",IF(OR(J167&gt;IFERROR(INDEX('Normal Parameters'!$G$5:$G$104,MATCH(1,('Normal Parameters'!$A$5:$A$104=D167)*('Normal Parameters'!$B$5:$B$104=E167)*('Normal Parameters'!$C$5:$C$104="Behavior Score"),0)),99),F167&lt;IFERROR(INDEX('Normal Parameters'!$E$5:$E$104,MATCH(1,('Normal Parameters'!$A$5:$A$104=D167)*('Normal Parameters'!$B$5:$B$104=E167)*('Normal Parameters'!$C$5:$C$104="Weight"),0)),0),F167&gt;IFERROR(INDEX('Normal Parameters'!$G$5:$G$104,MATCH(1,('Normal Parameters'!$A$5:$A$104=D167)*('Normal Parameters'!$B$5:$B$104=E167)*('Normal Parameters'!$C$5:$C$104="Weight"),0)),9999),I167&lt;IFERROR(INDEX('Normal Parameters'!$E$5:$E$104,MATCH(1,('Normal Parameters'!$A$5:$A$104=D167)*('Normal Parameters'!$B$5:$B$104=E167)*('Normal Parameters'!$C$5:$C$104="Temperature"),0)),0),I167&gt;IFERROR(INDEX('Normal Parameters'!$G$5:$G$104,MATCH(1,('Normal Parameters'!$A$5:$A$104=D167)*('Normal Parameters'!$B$5:$B$104=E167)*('Normal Parameters'!$C$5:$C$104="Temperature"),0)),9999)),"Check","Normal"))</x:f>
      </x:c>
    </x:row>
    <x:row r="168" ht="15" hidden="0" customHeight="1">
      <x:c r="A168" s="74"/>
      <x:c r="B168" s="46"/>
      <x:c r="C168" s="46"/>
      <x:c r="D168" s="46" t="str">
        <x:f>IFERROR(XLOOKUP(C168,'Animals'!$A$5:$A$104,'Animals'!$C$5:$C$104,""),"")</x:f>
      </x:c>
      <x:c r="E168" s="46" t="str">
        <x:f>IFERROR(XLOOKUP(C168,'Animals'!$A$5:$A$104,'Animals'!$H$5:$H$104,""),"")</x:f>
      </x:c>
      <x:c r="F168" s="71"/>
      <x:c r="G168" s="71"/>
      <x:c r="H168" s="71"/>
      <x:c r="I168" s="71"/>
      <x:c r="J168" s="71"/>
      <x:c r="K168" s="46"/>
      <x:c r="L168" s="46"/>
      <x:c r="M168" s="46"/>
      <x:c r="N168" s="46"/>
      <x:c r="O168" s="46"/>
      <x:c r="P168" s="46"/>
      <x:c r="Q168" s="47" t="str">
        <x:f>IF(C168="","",IF(OR(J168&gt;IFERROR(INDEX('Normal Parameters'!$G$5:$G$104,MATCH(1,('Normal Parameters'!$A$5:$A$104=D168)*('Normal Parameters'!$B$5:$B$104=E168)*('Normal Parameters'!$C$5:$C$104="Behavior Score"),0)),99),F168&lt;IFERROR(INDEX('Normal Parameters'!$E$5:$E$104,MATCH(1,('Normal Parameters'!$A$5:$A$104=D168)*('Normal Parameters'!$B$5:$B$104=E168)*('Normal Parameters'!$C$5:$C$104="Weight"),0)),0),F168&gt;IFERROR(INDEX('Normal Parameters'!$G$5:$G$104,MATCH(1,('Normal Parameters'!$A$5:$A$104=D168)*('Normal Parameters'!$B$5:$B$104=E168)*('Normal Parameters'!$C$5:$C$104="Weight"),0)),9999),I168&lt;IFERROR(INDEX('Normal Parameters'!$E$5:$E$104,MATCH(1,('Normal Parameters'!$A$5:$A$104=D168)*('Normal Parameters'!$B$5:$B$104=E168)*('Normal Parameters'!$C$5:$C$104="Temperature"),0)),0),I168&gt;IFERROR(INDEX('Normal Parameters'!$G$5:$G$104,MATCH(1,('Normal Parameters'!$A$5:$A$104=D168)*('Normal Parameters'!$B$5:$B$104=E168)*('Normal Parameters'!$C$5:$C$104="Temperature"),0)),9999)),"Check","Normal"))</x:f>
      </x:c>
    </x:row>
    <x:row r="169" ht="15" hidden="0" customHeight="1">
      <x:c r="A169" s="74"/>
      <x:c r="B169" s="46"/>
      <x:c r="C169" s="46"/>
      <x:c r="D169" s="46" t="str">
        <x:f>IFERROR(XLOOKUP(C169,'Animals'!$A$5:$A$104,'Animals'!$C$5:$C$104,""),"")</x:f>
      </x:c>
      <x:c r="E169" s="46" t="str">
        <x:f>IFERROR(XLOOKUP(C169,'Animals'!$A$5:$A$104,'Animals'!$H$5:$H$104,""),"")</x:f>
      </x:c>
      <x:c r="F169" s="71"/>
      <x:c r="G169" s="71"/>
      <x:c r="H169" s="71"/>
      <x:c r="I169" s="71"/>
      <x:c r="J169" s="71"/>
      <x:c r="K169" s="46"/>
      <x:c r="L169" s="46"/>
      <x:c r="M169" s="46"/>
      <x:c r="N169" s="46"/>
      <x:c r="O169" s="46"/>
      <x:c r="P169" s="46"/>
      <x:c r="Q169" s="47" t="str">
        <x:f>IF(C169="","",IF(OR(J169&gt;IFERROR(INDEX('Normal Parameters'!$G$5:$G$104,MATCH(1,('Normal Parameters'!$A$5:$A$104=D169)*('Normal Parameters'!$B$5:$B$104=E169)*('Normal Parameters'!$C$5:$C$104="Behavior Score"),0)),99),F169&lt;IFERROR(INDEX('Normal Parameters'!$E$5:$E$104,MATCH(1,('Normal Parameters'!$A$5:$A$104=D169)*('Normal Parameters'!$B$5:$B$104=E169)*('Normal Parameters'!$C$5:$C$104="Weight"),0)),0),F169&gt;IFERROR(INDEX('Normal Parameters'!$G$5:$G$104,MATCH(1,('Normal Parameters'!$A$5:$A$104=D169)*('Normal Parameters'!$B$5:$B$104=E169)*('Normal Parameters'!$C$5:$C$104="Weight"),0)),9999),I169&lt;IFERROR(INDEX('Normal Parameters'!$E$5:$E$104,MATCH(1,('Normal Parameters'!$A$5:$A$104=D169)*('Normal Parameters'!$B$5:$B$104=E169)*('Normal Parameters'!$C$5:$C$104="Temperature"),0)),0),I169&gt;IFERROR(INDEX('Normal Parameters'!$G$5:$G$104,MATCH(1,('Normal Parameters'!$A$5:$A$104=D169)*('Normal Parameters'!$B$5:$B$104=E169)*('Normal Parameters'!$C$5:$C$104="Temperature"),0)),9999)),"Check","Normal"))</x:f>
      </x:c>
    </x:row>
    <x:row r="170" ht="15" hidden="0" customHeight="1">
      <x:c r="A170" s="74"/>
      <x:c r="B170" s="46"/>
      <x:c r="C170" s="46"/>
      <x:c r="D170" s="46" t="str">
        <x:f>IFERROR(XLOOKUP(C170,'Animals'!$A$5:$A$104,'Animals'!$C$5:$C$104,""),"")</x:f>
      </x:c>
      <x:c r="E170" s="46" t="str">
        <x:f>IFERROR(XLOOKUP(C170,'Animals'!$A$5:$A$104,'Animals'!$H$5:$H$104,""),"")</x:f>
      </x:c>
      <x:c r="F170" s="71"/>
      <x:c r="G170" s="71"/>
      <x:c r="H170" s="71"/>
      <x:c r="I170" s="71"/>
      <x:c r="J170" s="71"/>
      <x:c r="K170" s="46"/>
      <x:c r="L170" s="46"/>
      <x:c r="M170" s="46"/>
      <x:c r="N170" s="46"/>
      <x:c r="O170" s="46"/>
      <x:c r="P170" s="46"/>
      <x:c r="Q170" s="47" t="str">
        <x:f>IF(C170="","",IF(OR(J170&gt;IFERROR(INDEX('Normal Parameters'!$G$5:$G$104,MATCH(1,('Normal Parameters'!$A$5:$A$104=D170)*('Normal Parameters'!$B$5:$B$104=E170)*('Normal Parameters'!$C$5:$C$104="Behavior Score"),0)),99),F170&lt;IFERROR(INDEX('Normal Parameters'!$E$5:$E$104,MATCH(1,('Normal Parameters'!$A$5:$A$104=D170)*('Normal Parameters'!$B$5:$B$104=E170)*('Normal Parameters'!$C$5:$C$104="Weight"),0)),0),F170&gt;IFERROR(INDEX('Normal Parameters'!$G$5:$G$104,MATCH(1,('Normal Parameters'!$A$5:$A$104=D170)*('Normal Parameters'!$B$5:$B$104=E170)*('Normal Parameters'!$C$5:$C$104="Weight"),0)),9999),I170&lt;IFERROR(INDEX('Normal Parameters'!$E$5:$E$104,MATCH(1,('Normal Parameters'!$A$5:$A$104=D170)*('Normal Parameters'!$B$5:$B$104=E170)*('Normal Parameters'!$C$5:$C$104="Temperature"),0)),0),I170&gt;IFERROR(INDEX('Normal Parameters'!$G$5:$G$104,MATCH(1,('Normal Parameters'!$A$5:$A$104=D170)*('Normal Parameters'!$B$5:$B$104=E170)*('Normal Parameters'!$C$5:$C$104="Temperature"),0)),9999)),"Check","Normal"))</x:f>
      </x:c>
    </x:row>
    <x:row r="171" ht="15" hidden="0" customHeight="1">
      <x:c r="A171" s="74"/>
      <x:c r="B171" s="46"/>
      <x:c r="C171" s="46"/>
      <x:c r="D171" s="46" t="str">
        <x:f>IFERROR(XLOOKUP(C171,'Animals'!$A$5:$A$104,'Animals'!$C$5:$C$104,""),"")</x:f>
      </x:c>
      <x:c r="E171" s="46" t="str">
        <x:f>IFERROR(XLOOKUP(C171,'Animals'!$A$5:$A$104,'Animals'!$H$5:$H$104,""),"")</x:f>
      </x:c>
      <x:c r="F171" s="71"/>
      <x:c r="G171" s="71"/>
      <x:c r="H171" s="71"/>
      <x:c r="I171" s="71"/>
      <x:c r="J171" s="71"/>
      <x:c r="K171" s="46"/>
      <x:c r="L171" s="46"/>
      <x:c r="M171" s="46"/>
      <x:c r="N171" s="46"/>
      <x:c r="O171" s="46"/>
      <x:c r="P171" s="46"/>
      <x:c r="Q171" s="47" t="str">
        <x:f>IF(C171="","",IF(OR(J171&gt;IFERROR(INDEX('Normal Parameters'!$G$5:$G$104,MATCH(1,('Normal Parameters'!$A$5:$A$104=D171)*('Normal Parameters'!$B$5:$B$104=E171)*('Normal Parameters'!$C$5:$C$104="Behavior Score"),0)),99),F171&lt;IFERROR(INDEX('Normal Parameters'!$E$5:$E$104,MATCH(1,('Normal Parameters'!$A$5:$A$104=D171)*('Normal Parameters'!$B$5:$B$104=E171)*('Normal Parameters'!$C$5:$C$104="Weight"),0)),0),F171&gt;IFERROR(INDEX('Normal Parameters'!$G$5:$G$104,MATCH(1,('Normal Parameters'!$A$5:$A$104=D171)*('Normal Parameters'!$B$5:$B$104=E171)*('Normal Parameters'!$C$5:$C$104="Weight"),0)),9999),I171&lt;IFERROR(INDEX('Normal Parameters'!$E$5:$E$104,MATCH(1,('Normal Parameters'!$A$5:$A$104=D171)*('Normal Parameters'!$B$5:$B$104=E171)*('Normal Parameters'!$C$5:$C$104="Temperature"),0)),0),I171&gt;IFERROR(INDEX('Normal Parameters'!$G$5:$G$104,MATCH(1,('Normal Parameters'!$A$5:$A$104=D171)*('Normal Parameters'!$B$5:$B$104=E171)*('Normal Parameters'!$C$5:$C$104="Temperature"),0)),9999)),"Check","Normal"))</x:f>
      </x:c>
    </x:row>
    <x:row r="172" ht="15" hidden="0" customHeight="1">
      <x:c r="A172" s="74"/>
      <x:c r="B172" s="46"/>
      <x:c r="C172" s="46"/>
      <x:c r="D172" s="46" t="str">
        <x:f>IFERROR(XLOOKUP(C172,'Animals'!$A$5:$A$104,'Animals'!$C$5:$C$104,""),"")</x:f>
      </x:c>
      <x:c r="E172" s="46" t="str">
        <x:f>IFERROR(XLOOKUP(C172,'Animals'!$A$5:$A$104,'Animals'!$H$5:$H$104,""),"")</x:f>
      </x:c>
      <x:c r="F172" s="71"/>
      <x:c r="G172" s="71"/>
      <x:c r="H172" s="71"/>
      <x:c r="I172" s="71"/>
      <x:c r="J172" s="71"/>
      <x:c r="K172" s="46"/>
      <x:c r="L172" s="46"/>
      <x:c r="M172" s="46"/>
      <x:c r="N172" s="46"/>
      <x:c r="O172" s="46"/>
      <x:c r="P172" s="46"/>
      <x:c r="Q172" s="47" t="str">
        <x:f>IF(C172="","",IF(OR(J172&gt;IFERROR(INDEX('Normal Parameters'!$G$5:$G$104,MATCH(1,('Normal Parameters'!$A$5:$A$104=D172)*('Normal Parameters'!$B$5:$B$104=E172)*('Normal Parameters'!$C$5:$C$104="Behavior Score"),0)),99),F172&lt;IFERROR(INDEX('Normal Parameters'!$E$5:$E$104,MATCH(1,('Normal Parameters'!$A$5:$A$104=D172)*('Normal Parameters'!$B$5:$B$104=E172)*('Normal Parameters'!$C$5:$C$104="Weight"),0)),0),F172&gt;IFERROR(INDEX('Normal Parameters'!$G$5:$G$104,MATCH(1,('Normal Parameters'!$A$5:$A$104=D172)*('Normal Parameters'!$B$5:$B$104=E172)*('Normal Parameters'!$C$5:$C$104="Weight"),0)),9999),I172&lt;IFERROR(INDEX('Normal Parameters'!$E$5:$E$104,MATCH(1,('Normal Parameters'!$A$5:$A$104=D172)*('Normal Parameters'!$B$5:$B$104=E172)*('Normal Parameters'!$C$5:$C$104="Temperature"),0)),0),I172&gt;IFERROR(INDEX('Normal Parameters'!$G$5:$G$104,MATCH(1,('Normal Parameters'!$A$5:$A$104=D172)*('Normal Parameters'!$B$5:$B$104=E172)*('Normal Parameters'!$C$5:$C$104="Temperature"),0)),9999)),"Check","Normal"))</x:f>
      </x:c>
    </x:row>
    <x:row r="173" ht="15" hidden="0" customHeight="1">
      <x:c r="A173" s="74"/>
      <x:c r="B173" s="46"/>
      <x:c r="C173" s="46"/>
      <x:c r="D173" s="46" t="str">
        <x:f>IFERROR(XLOOKUP(C173,'Animals'!$A$5:$A$104,'Animals'!$C$5:$C$104,""),"")</x:f>
      </x:c>
      <x:c r="E173" s="46" t="str">
        <x:f>IFERROR(XLOOKUP(C173,'Animals'!$A$5:$A$104,'Animals'!$H$5:$H$104,""),"")</x:f>
      </x:c>
      <x:c r="F173" s="71"/>
      <x:c r="G173" s="71"/>
      <x:c r="H173" s="71"/>
      <x:c r="I173" s="71"/>
      <x:c r="J173" s="71"/>
      <x:c r="K173" s="46"/>
      <x:c r="L173" s="46"/>
      <x:c r="M173" s="46"/>
      <x:c r="N173" s="46"/>
      <x:c r="O173" s="46"/>
      <x:c r="P173" s="46"/>
      <x:c r="Q173" s="47" t="str">
        <x:f>IF(C173="","",IF(OR(J173&gt;IFERROR(INDEX('Normal Parameters'!$G$5:$G$104,MATCH(1,('Normal Parameters'!$A$5:$A$104=D173)*('Normal Parameters'!$B$5:$B$104=E173)*('Normal Parameters'!$C$5:$C$104="Behavior Score"),0)),99),F173&lt;IFERROR(INDEX('Normal Parameters'!$E$5:$E$104,MATCH(1,('Normal Parameters'!$A$5:$A$104=D173)*('Normal Parameters'!$B$5:$B$104=E173)*('Normal Parameters'!$C$5:$C$104="Weight"),0)),0),F173&gt;IFERROR(INDEX('Normal Parameters'!$G$5:$G$104,MATCH(1,('Normal Parameters'!$A$5:$A$104=D173)*('Normal Parameters'!$B$5:$B$104=E173)*('Normal Parameters'!$C$5:$C$104="Weight"),0)),9999),I173&lt;IFERROR(INDEX('Normal Parameters'!$E$5:$E$104,MATCH(1,('Normal Parameters'!$A$5:$A$104=D173)*('Normal Parameters'!$B$5:$B$104=E173)*('Normal Parameters'!$C$5:$C$104="Temperature"),0)),0),I173&gt;IFERROR(INDEX('Normal Parameters'!$G$5:$G$104,MATCH(1,('Normal Parameters'!$A$5:$A$104=D173)*('Normal Parameters'!$B$5:$B$104=E173)*('Normal Parameters'!$C$5:$C$104="Temperature"),0)),9999)),"Check","Normal"))</x:f>
      </x:c>
    </x:row>
    <x:row r="174" ht="15" hidden="0" customHeight="1">
      <x:c r="A174" s="74"/>
      <x:c r="B174" s="46"/>
      <x:c r="C174" s="46"/>
      <x:c r="D174" s="46" t="str">
        <x:f>IFERROR(XLOOKUP(C174,'Animals'!$A$5:$A$104,'Animals'!$C$5:$C$104,""),"")</x:f>
      </x:c>
      <x:c r="E174" s="46" t="str">
        <x:f>IFERROR(XLOOKUP(C174,'Animals'!$A$5:$A$104,'Animals'!$H$5:$H$104,""),"")</x:f>
      </x:c>
      <x:c r="F174" s="71"/>
      <x:c r="G174" s="71"/>
      <x:c r="H174" s="71"/>
      <x:c r="I174" s="71"/>
      <x:c r="J174" s="71"/>
      <x:c r="K174" s="46"/>
      <x:c r="L174" s="46"/>
      <x:c r="M174" s="46"/>
      <x:c r="N174" s="46"/>
      <x:c r="O174" s="46"/>
      <x:c r="P174" s="46"/>
      <x:c r="Q174" s="47" t="str">
        <x:f>IF(C174="","",IF(OR(J174&gt;IFERROR(INDEX('Normal Parameters'!$G$5:$G$104,MATCH(1,('Normal Parameters'!$A$5:$A$104=D174)*('Normal Parameters'!$B$5:$B$104=E174)*('Normal Parameters'!$C$5:$C$104="Behavior Score"),0)),99),F174&lt;IFERROR(INDEX('Normal Parameters'!$E$5:$E$104,MATCH(1,('Normal Parameters'!$A$5:$A$104=D174)*('Normal Parameters'!$B$5:$B$104=E174)*('Normal Parameters'!$C$5:$C$104="Weight"),0)),0),F174&gt;IFERROR(INDEX('Normal Parameters'!$G$5:$G$104,MATCH(1,('Normal Parameters'!$A$5:$A$104=D174)*('Normal Parameters'!$B$5:$B$104=E174)*('Normal Parameters'!$C$5:$C$104="Weight"),0)),9999),I174&lt;IFERROR(INDEX('Normal Parameters'!$E$5:$E$104,MATCH(1,('Normal Parameters'!$A$5:$A$104=D174)*('Normal Parameters'!$B$5:$B$104=E174)*('Normal Parameters'!$C$5:$C$104="Temperature"),0)),0),I174&gt;IFERROR(INDEX('Normal Parameters'!$G$5:$G$104,MATCH(1,('Normal Parameters'!$A$5:$A$104=D174)*('Normal Parameters'!$B$5:$B$104=E174)*('Normal Parameters'!$C$5:$C$104="Temperature"),0)),9999)),"Check","Normal"))</x:f>
      </x:c>
    </x:row>
    <x:row r="175" ht="15" hidden="0" customHeight="1">
      <x:c r="A175" s="74"/>
      <x:c r="B175" s="46"/>
      <x:c r="C175" s="46"/>
      <x:c r="D175" s="46" t="str">
        <x:f>IFERROR(XLOOKUP(C175,'Animals'!$A$5:$A$104,'Animals'!$C$5:$C$104,""),"")</x:f>
      </x:c>
      <x:c r="E175" s="46" t="str">
        <x:f>IFERROR(XLOOKUP(C175,'Animals'!$A$5:$A$104,'Animals'!$H$5:$H$104,""),"")</x:f>
      </x:c>
      <x:c r="F175" s="71"/>
      <x:c r="G175" s="71"/>
      <x:c r="H175" s="71"/>
      <x:c r="I175" s="71"/>
      <x:c r="J175" s="71"/>
      <x:c r="K175" s="46"/>
      <x:c r="L175" s="46"/>
      <x:c r="M175" s="46"/>
      <x:c r="N175" s="46"/>
      <x:c r="O175" s="46"/>
      <x:c r="P175" s="46"/>
      <x:c r="Q175" s="47" t="str">
        <x:f>IF(C175="","",IF(OR(J175&gt;IFERROR(INDEX('Normal Parameters'!$G$5:$G$104,MATCH(1,('Normal Parameters'!$A$5:$A$104=D175)*('Normal Parameters'!$B$5:$B$104=E175)*('Normal Parameters'!$C$5:$C$104="Behavior Score"),0)),99),F175&lt;IFERROR(INDEX('Normal Parameters'!$E$5:$E$104,MATCH(1,('Normal Parameters'!$A$5:$A$104=D175)*('Normal Parameters'!$B$5:$B$104=E175)*('Normal Parameters'!$C$5:$C$104="Weight"),0)),0),F175&gt;IFERROR(INDEX('Normal Parameters'!$G$5:$G$104,MATCH(1,('Normal Parameters'!$A$5:$A$104=D175)*('Normal Parameters'!$B$5:$B$104=E175)*('Normal Parameters'!$C$5:$C$104="Weight"),0)),9999),I175&lt;IFERROR(INDEX('Normal Parameters'!$E$5:$E$104,MATCH(1,('Normal Parameters'!$A$5:$A$104=D175)*('Normal Parameters'!$B$5:$B$104=E175)*('Normal Parameters'!$C$5:$C$104="Temperature"),0)),0),I175&gt;IFERROR(INDEX('Normal Parameters'!$G$5:$G$104,MATCH(1,('Normal Parameters'!$A$5:$A$104=D175)*('Normal Parameters'!$B$5:$B$104=E175)*('Normal Parameters'!$C$5:$C$104="Temperature"),0)),9999)),"Check","Normal"))</x:f>
      </x:c>
    </x:row>
    <x:row r="176" ht="15" hidden="0" customHeight="1">
      <x:c r="A176" s="74"/>
      <x:c r="B176" s="46"/>
      <x:c r="C176" s="46"/>
      <x:c r="D176" s="46" t="str">
        <x:f>IFERROR(XLOOKUP(C176,'Animals'!$A$5:$A$104,'Animals'!$C$5:$C$104,""),"")</x:f>
      </x:c>
      <x:c r="E176" s="46" t="str">
        <x:f>IFERROR(XLOOKUP(C176,'Animals'!$A$5:$A$104,'Animals'!$H$5:$H$104,""),"")</x:f>
      </x:c>
      <x:c r="F176" s="71"/>
      <x:c r="G176" s="71"/>
      <x:c r="H176" s="71"/>
      <x:c r="I176" s="71"/>
      <x:c r="J176" s="71"/>
      <x:c r="K176" s="46"/>
      <x:c r="L176" s="46"/>
      <x:c r="M176" s="46"/>
      <x:c r="N176" s="46"/>
      <x:c r="O176" s="46"/>
      <x:c r="P176" s="46"/>
      <x:c r="Q176" s="47" t="str">
        <x:f>IF(C176="","",IF(OR(J176&gt;IFERROR(INDEX('Normal Parameters'!$G$5:$G$104,MATCH(1,('Normal Parameters'!$A$5:$A$104=D176)*('Normal Parameters'!$B$5:$B$104=E176)*('Normal Parameters'!$C$5:$C$104="Behavior Score"),0)),99),F176&lt;IFERROR(INDEX('Normal Parameters'!$E$5:$E$104,MATCH(1,('Normal Parameters'!$A$5:$A$104=D176)*('Normal Parameters'!$B$5:$B$104=E176)*('Normal Parameters'!$C$5:$C$104="Weight"),0)),0),F176&gt;IFERROR(INDEX('Normal Parameters'!$G$5:$G$104,MATCH(1,('Normal Parameters'!$A$5:$A$104=D176)*('Normal Parameters'!$B$5:$B$104=E176)*('Normal Parameters'!$C$5:$C$104="Weight"),0)),9999),I176&lt;IFERROR(INDEX('Normal Parameters'!$E$5:$E$104,MATCH(1,('Normal Parameters'!$A$5:$A$104=D176)*('Normal Parameters'!$B$5:$B$104=E176)*('Normal Parameters'!$C$5:$C$104="Temperature"),0)),0),I176&gt;IFERROR(INDEX('Normal Parameters'!$G$5:$G$104,MATCH(1,('Normal Parameters'!$A$5:$A$104=D176)*('Normal Parameters'!$B$5:$B$104=E176)*('Normal Parameters'!$C$5:$C$104="Temperature"),0)),9999)),"Check","Normal"))</x:f>
      </x:c>
    </x:row>
    <x:row r="177" ht="15" hidden="0" customHeight="1">
      <x:c r="A177" s="74"/>
      <x:c r="B177" s="46"/>
      <x:c r="C177" s="46"/>
      <x:c r="D177" s="46" t="str">
        <x:f>IFERROR(XLOOKUP(C177,'Animals'!$A$5:$A$104,'Animals'!$C$5:$C$104,""),"")</x:f>
      </x:c>
      <x:c r="E177" s="46" t="str">
        <x:f>IFERROR(XLOOKUP(C177,'Animals'!$A$5:$A$104,'Animals'!$H$5:$H$104,""),"")</x:f>
      </x:c>
      <x:c r="F177" s="71"/>
      <x:c r="G177" s="71"/>
      <x:c r="H177" s="71"/>
      <x:c r="I177" s="71"/>
      <x:c r="J177" s="71"/>
      <x:c r="K177" s="46"/>
      <x:c r="L177" s="46"/>
      <x:c r="M177" s="46"/>
      <x:c r="N177" s="46"/>
      <x:c r="O177" s="46"/>
      <x:c r="P177" s="46"/>
      <x:c r="Q177" s="47" t="str">
        <x:f>IF(C177="","",IF(OR(J177&gt;IFERROR(INDEX('Normal Parameters'!$G$5:$G$104,MATCH(1,('Normal Parameters'!$A$5:$A$104=D177)*('Normal Parameters'!$B$5:$B$104=E177)*('Normal Parameters'!$C$5:$C$104="Behavior Score"),0)),99),F177&lt;IFERROR(INDEX('Normal Parameters'!$E$5:$E$104,MATCH(1,('Normal Parameters'!$A$5:$A$104=D177)*('Normal Parameters'!$B$5:$B$104=E177)*('Normal Parameters'!$C$5:$C$104="Weight"),0)),0),F177&gt;IFERROR(INDEX('Normal Parameters'!$G$5:$G$104,MATCH(1,('Normal Parameters'!$A$5:$A$104=D177)*('Normal Parameters'!$B$5:$B$104=E177)*('Normal Parameters'!$C$5:$C$104="Weight"),0)),9999),I177&lt;IFERROR(INDEX('Normal Parameters'!$E$5:$E$104,MATCH(1,('Normal Parameters'!$A$5:$A$104=D177)*('Normal Parameters'!$B$5:$B$104=E177)*('Normal Parameters'!$C$5:$C$104="Temperature"),0)),0),I177&gt;IFERROR(INDEX('Normal Parameters'!$G$5:$G$104,MATCH(1,('Normal Parameters'!$A$5:$A$104=D177)*('Normal Parameters'!$B$5:$B$104=E177)*('Normal Parameters'!$C$5:$C$104="Temperature"),0)),9999)),"Check","Normal"))</x:f>
      </x:c>
    </x:row>
    <x:row r="178" ht="15" hidden="0" customHeight="1">
      <x:c r="A178" s="74"/>
      <x:c r="B178" s="46"/>
      <x:c r="C178" s="46"/>
      <x:c r="D178" s="46" t="str">
        <x:f>IFERROR(XLOOKUP(C178,'Animals'!$A$5:$A$104,'Animals'!$C$5:$C$104,""),"")</x:f>
      </x:c>
      <x:c r="E178" s="46" t="str">
        <x:f>IFERROR(XLOOKUP(C178,'Animals'!$A$5:$A$104,'Animals'!$H$5:$H$104,""),"")</x:f>
      </x:c>
      <x:c r="F178" s="71"/>
      <x:c r="G178" s="71"/>
      <x:c r="H178" s="71"/>
      <x:c r="I178" s="71"/>
      <x:c r="J178" s="71"/>
      <x:c r="K178" s="46"/>
      <x:c r="L178" s="46"/>
      <x:c r="M178" s="46"/>
      <x:c r="N178" s="46"/>
      <x:c r="O178" s="46"/>
      <x:c r="P178" s="46"/>
      <x:c r="Q178" s="47" t="str">
        <x:f>IF(C178="","",IF(OR(J178&gt;IFERROR(INDEX('Normal Parameters'!$G$5:$G$104,MATCH(1,('Normal Parameters'!$A$5:$A$104=D178)*('Normal Parameters'!$B$5:$B$104=E178)*('Normal Parameters'!$C$5:$C$104="Behavior Score"),0)),99),F178&lt;IFERROR(INDEX('Normal Parameters'!$E$5:$E$104,MATCH(1,('Normal Parameters'!$A$5:$A$104=D178)*('Normal Parameters'!$B$5:$B$104=E178)*('Normal Parameters'!$C$5:$C$104="Weight"),0)),0),F178&gt;IFERROR(INDEX('Normal Parameters'!$G$5:$G$104,MATCH(1,('Normal Parameters'!$A$5:$A$104=D178)*('Normal Parameters'!$B$5:$B$104=E178)*('Normal Parameters'!$C$5:$C$104="Weight"),0)),9999),I178&lt;IFERROR(INDEX('Normal Parameters'!$E$5:$E$104,MATCH(1,('Normal Parameters'!$A$5:$A$104=D178)*('Normal Parameters'!$B$5:$B$104=E178)*('Normal Parameters'!$C$5:$C$104="Temperature"),0)),0),I178&gt;IFERROR(INDEX('Normal Parameters'!$G$5:$G$104,MATCH(1,('Normal Parameters'!$A$5:$A$104=D178)*('Normal Parameters'!$B$5:$B$104=E178)*('Normal Parameters'!$C$5:$C$104="Temperature"),0)),9999)),"Check","Normal"))</x:f>
      </x:c>
    </x:row>
    <x:row r="179" ht="15" hidden="0" customHeight="1">
      <x:c r="A179" s="74"/>
      <x:c r="B179" s="46"/>
      <x:c r="C179" s="46"/>
      <x:c r="D179" s="46" t="str">
        <x:f>IFERROR(XLOOKUP(C179,'Animals'!$A$5:$A$104,'Animals'!$C$5:$C$104,""),"")</x:f>
      </x:c>
      <x:c r="E179" s="46" t="str">
        <x:f>IFERROR(XLOOKUP(C179,'Animals'!$A$5:$A$104,'Animals'!$H$5:$H$104,""),"")</x:f>
      </x:c>
      <x:c r="F179" s="71"/>
      <x:c r="G179" s="71"/>
      <x:c r="H179" s="71"/>
      <x:c r="I179" s="71"/>
      <x:c r="J179" s="71"/>
      <x:c r="K179" s="46"/>
      <x:c r="L179" s="46"/>
      <x:c r="M179" s="46"/>
      <x:c r="N179" s="46"/>
      <x:c r="O179" s="46"/>
      <x:c r="P179" s="46"/>
      <x:c r="Q179" s="47" t="str">
        <x:f>IF(C179="","",IF(OR(J179&gt;IFERROR(INDEX('Normal Parameters'!$G$5:$G$104,MATCH(1,('Normal Parameters'!$A$5:$A$104=D179)*('Normal Parameters'!$B$5:$B$104=E179)*('Normal Parameters'!$C$5:$C$104="Behavior Score"),0)),99),F179&lt;IFERROR(INDEX('Normal Parameters'!$E$5:$E$104,MATCH(1,('Normal Parameters'!$A$5:$A$104=D179)*('Normal Parameters'!$B$5:$B$104=E179)*('Normal Parameters'!$C$5:$C$104="Weight"),0)),0),F179&gt;IFERROR(INDEX('Normal Parameters'!$G$5:$G$104,MATCH(1,('Normal Parameters'!$A$5:$A$104=D179)*('Normal Parameters'!$B$5:$B$104=E179)*('Normal Parameters'!$C$5:$C$104="Weight"),0)),9999),I179&lt;IFERROR(INDEX('Normal Parameters'!$E$5:$E$104,MATCH(1,('Normal Parameters'!$A$5:$A$104=D179)*('Normal Parameters'!$B$5:$B$104=E179)*('Normal Parameters'!$C$5:$C$104="Temperature"),0)),0),I179&gt;IFERROR(INDEX('Normal Parameters'!$G$5:$G$104,MATCH(1,('Normal Parameters'!$A$5:$A$104=D179)*('Normal Parameters'!$B$5:$B$104=E179)*('Normal Parameters'!$C$5:$C$104="Temperature"),0)),9999)),"Check","Normal"))</x:f>
      </x:c>
    </x:row>
    <x:row r="180" ht="15" hidden="0" customHeight="1">
      <x:c r="A180" s="74"/>
      <x:c r="B180" s="46"/>
      <x:c r="C180" s="46"/>
      <x:c r="D180" s="46" t="str">
        <x:f>IFERROR(XLOOKUP(C180,'Animals'!$A$5:$A$104,'Animals'!$C$5:$C$104,""),"")</x:f>
      </x:c>
      <x:c r="E180" s="46" t="str">
        <x:f>IFERROR(XLOOKUP(C180,'Animals'!$A$5:$A$104,'Animals'!$H$5:$H$104,""),"")</x:f>
      </x:c>
      <x:c r="F180" s="71"/>
      <x:c r="G180" s="71"/>
      <x:c r="H180" s="71"/>
      <x:c r="I180" s="71"/>
      <x:c r="J180" s="71"/>
      <x:c r="K180" s="46"/>
      <x:c r="L180" s="46"/>
      <x:c r="M180" s="46"/>
      <x:c r="N180" s="46"/>
      <x:c r="O180" s="46"/>
      <x:c r="P180" s="46"/>
      <x:c r="Q180" s="47" t="str">
        <x:f>IF(C180="","",IF(OR(J180&gt;IFERROR(INDEX('Normal Parameters'!$G$5:$G$104,MATCH(1,('Normal Parameters'!$A$5:$A$104=D180)*('Normal Parameters'!$B$5:$B$104=E180)*('Normal Parameters'!$C$5:$C$104="Behavior Score"),0)),99),F180&lt;IFERROR(INDEX('Normal Parameters'!$E$5:$E$104,MATCH(1,('Normal Parameters'!$A$5:$A$104=D180)*('Normal Parameters'!$B$5:$B$104=E180)*('Normal Parameters'!$C$5:$C$104="Weight"),0)),0),F180&gt;IFERROR(INDEX('Normal Parameters'!$G$5:$G$104,MATCH(1,('Normal Parameters'!$A$5:$A$104=D180)*('Normal Parameters'!$B$5:$B$104=E180)*('Normal Parameters'!$C$5:$C$104="Weight"),0)),9999),I180&lt;IFERROR(INDEX('Normal Parameters'!$E$5:$E$104,MATCH(1,('Normal Parameters'!$A$5:$A$104=D180)*('Normal Parameters'!$B$5:$B$104=E180)*('Normal Parameters'!$C$5:$C$104="Temperature"),0)),0),I180&gt;IFERROR(INDEX('Normal Parameters'!$G$5:$G$104,MATCH(1,('Normal Parameters'!$A$5:$A$104=D180)*('Normal Parameters'!$B$5:$B$104=E180)*('Normal Parameters'!$C$5:$C$104="Temperature"),0)),9999)),"Check","Normal"))</x:f>
      </x:c>
    </x:row>
    <x:row r="181" ht="15" hidden="0" customHeight="1">
      <x:c r="A181" s="74"/>
      <x:c r="B181" s="46"/>
      <x:c r="C181" s="46"/>
      <x:c r="D181" s="46" t="str">
        <x:f>IFERROR(XLOOKUP(C181,'Animals'!$A$5:$A$104,'Animals'!$C$5:$C$104,""),"")</x:f>
      </x:c>
      <x:c r="E181" s="46" t="str">
        <x:f>IFERROR(XLOOKUP(C181,'Animals'!$A$5:$A$104,'Animals'!$H$5:$H$104,""),"")</x:f>
      </x:c>
      <x:c r="F181" s="71"/>
      <x:c r="G181" s="71"/>
      <x:c r="H181" s="71"/>
      <x:c r="I181" s="71"/>
      <x:c r="J181" s="71"/>
      <x:c r="K181" s="46"/>
      <x:c r="L181" s="46"/>
      <x:c r="M181" s="46"/>
      <x:c r="N181" s="46"/>
      <x:c r="O181" s="46"/>
      <x:c r="P181" s="46"/>
      <x:c r="Q181" s="47" t="str">
        <x:f>IF(C181="","",IF(OR(J181&gt;IFERROR(INDEX('Normal Parameters'!$G$5:$G$104,MATCH(1,('Normal Parameters'!$A$5:$A$104=D181)*('Normal Parameters'!$B$5:$B$104=E181)*('Normal Parameters'!$C$5:$C$104="Behavior Score"),0)),99),F181&lt;IFERROR(INDEX('Normal Parameters'!$E$5:$E$104,MATCH(1,('Normal Parameters'!$A$5:$A$104=D181)*('Normal Parameters'!$B$5:$B$104=E181)*('Normal Parameters'!$C$5:$C$104="Weight"),0)),0),F181&gt;IFERROR(INDEX('Normal Parameters'!$G$5:$G$104,MATCH(1,('Normal Parameters'!$A$5:$A$104=D181)*('Normal Parameters'!$B$5:$B$104=E181)*('Normal Parameters'!$C$5:$C$104="Weight"),0)),9999),I181&lt;IFERROR(INDEX('Normal Parameters'!$E$5:$E$104,MATCH(1,('Normal Parameters'!$A$5:$A$104=D181)*('Normal Parameters'!$B$5:$B$104=E181)*('Normal Parameters'!$C$5:$C$104="Temperature"),0)),0),I181&gt;IFERROR(INDEX('Normal Parameters'!$G$5:$G$104,MATCH(1,('Normal Parameters'!$A$5:$A$104=D181)*('Normal Parameters'!$B$5:$B$104=E181)*('Normal Parameters'!$C$5:$C$104="Temperature"),0)),9999)),"Check","Normal"))</x:f>
      </x:c>
    </x:row>
    <x:row r="182" ht="15" hidden="0" customHeight="1">
      <x:c r="A182" s="74"/>
      <x:c r="B182" s="46"/>
      <x:c r="C182" s="46"/>
      <x:c r="D182" s="46" t="str">
        <x:f>IFERROR(XLOOKUP(C182,'Animals'!$A$5:$A$104,'Animals'!$C$5:$C$104,""),"")</x:f>
      </x:c>
      <x:c r="E182" s="46" t="str">
        <x:f>IFERROR(XLOOKUP(C182,'Animals'!$A$5:$A$104,'Animals'!$H$5:$H$104,""),"")</x:f>
      </x:c>
      <x:c r="F182" s="71"/>
      <x:c r="G182" s="71"/>
      <x:c r="H182" s="71"/>
      <x:c r="I182" s="71"/>
      <x:c r="J182" s="71"/>
      <x:c r="K182" s="46"/>
      <x:c r="L182" s="46"/>
      <x:c r="M182" s="46"/>
      <x:c r="N182" s="46"/>
      <x:c r="O182" s="46"/>
      <x:c r="P182" s="46"/>
      <x:c r="Q182" s="47" t="str">
        <x:f>IF(C182="","",IF(OR(J182&gt;IFERROR(INDEX('Normal Parameters'!$G$5:$G$104,MATCH(1,('Normal Parameters'!$A$5:$A$104=D182)*('Normal Parameters'!$B$5:$B$104=E182)*('Normal Parameters'!$C$5:$C$104="Behavior Score"),0)),99),F182&lt;IFERROR(INDEX('Normal Parameters'!$E$5:$E$104,MATCH(1,('Normal Parameters'!$A$5:$A$104=D182)*('Normal Parameters'!$B$5:$B$104=E182)*('Normal Parameters'!$C$5:$C$104="Weight"),0)),0),F182&gt;IFERROR(INDEX('Normal Parameters'!$G$5:$G$104,MATCH(1,('Normal Parameters'!$A$5:$A$104=D182)*('Normal Parameters'!$B$5:$B$104=E182)*('Normal Parameters'!$C$5:$C$104="Weight"),0)),9999),I182&lt;IFERROR(INDEX('Normal Parameters'!$E$5:$E$104,MATCH(1,('Normal Parameters'!$A$5:$A$104=D182)*('Normal Parameters'!$B$5:$B$104=E182)*('Normal Parameters'!$C$5:$C$104="Temperature"),0)),0),I182&gt;IFERROR(INDEX('Normal Parameters'!$G$5:$G$104,MATCH(1,('Normal Parameters'!$A$5:$A$104=D182)*('Normal Parameters'!$B$5:$B$104=E182)*('Normal Parameters'!$C$5:$C$104="Temperature"),0)),9999)),"Check","Normal"))</x:f>
      </x:c>
    </x:row>
    <x:row r="183" ht="15" hidden="0" customHeight="1">
      <x:c r="A183" s="74"/>
      <x:c r="B183" s="46"/>
      <x:c r="C183" s="46"/>
      <x:c r="D183" s="46" t="str">
        <x:f>IFERROR(XLOOKUP(C183,'Animals'!$A$5:$A$104,'Animals'!$C$5:$C$104,""),"")</x:f>
      </x:c>
      <x:c r="E183" s="46" t="str">
        <x:f>IFERROR(XLOOKUP(C183,'Animals'!$A$5:$A$104,'Animals'!$H$5:$H$104,""),"")</x:f>
      </x:c>
      <x:c r="F183" s="71"/>
      <x:c r="G183" s="71"/>
      <x:c r="H183" s="71"/>
      <x:c r="I183" s="71"/>
      <x:c r="J183" s="71"/>
      <x:c r="K183" s="46"/>
      <x:c r="L183" s="46"/>
      <x:c r="M183" s="46"/>
      <x:c r="N183" s="46"/>
      <x:c r="O183" s="46"/>
      <x:c r="P183" s="46"/>
      <x:c r="Q183" s="47" t="str">
        <x:f>IF(C183="","",IF(OR(J183&gt;IFERROR(INDEX('Normal Parameters'!$G$5:$G$104,MATCH(1,('Normal Parameters'!$A$5:$A$104=D183)*('Normal Parameters'!$B$5:$B$104=E183)*('Normal Parameters'!$C$5:$C$104="Behavior Score"),0)),99),F183&lt;IFERROR(INDEX('Normal Parameters'!$E$5:$E$104,MATCH(1,('Normal Parameters'!$A$5:$A$104=D183)*('Normal Parameters'!$B$5:$B$104=E183)*('Normal Parameters'!$C$5:$C$104="Weight"),0)),0),F183&gt;IFERROR(INDEX('Normal Parameters'!$G$5:$G$104,MATCH(1,('Normal Parameters'!$A$5:$A$104=D183)*('Normal Parameters'!$B$5:$B$104=E183)*('Normal Parameters'!$C$5:$C$104="Weight"),0)),9999),I183&lt;IFERROR(INDEX('Normal Parameters'!$E$5:$E$104,MATCH(1,('Normal Parameters'!$A$5:$A$104=D183)*('Normal Parameters'!$B$5:$B$104=E183)*('Normal Parameters'!$C$5:$C$104="Temperature"),0)),0),I183&gt;IFERROR(INDEX('Normal Parameters'!$G$5:$G$104,MATCH(1,('Normal Parameters'!$A$5:$A$104=D183)*('Normal Parameters'!$B$5:$B$104=E183)*('Normal Parameters'!$C$5:$C$104="Temperature"),0)),9999)),"Check","Normal"))</x:f>
      </x:c>
    </x:row>
    <x:row r="184" ht="15" hidden="0" customHeight="1">
      <x:c r="A184" s="74"/>
      <x:c r="B184" s="46"/>
      <x:c r="C184" s="46"/>
      <x:c r="D184" s="46" t="str">
        <x:f>IFERROR(XLOOKUP(C184,'Animals'!$A$5:$A$104,'Animals'!$C$5:$C$104,""),"")</x:f>
      </x:c>
      <x:c r="E184" s="46" t="str">
        <x:f>IFERROR(XLOOKUP(C184,'Animals'!$A$5:$A$104,'Animals'!$H$5:$H$104,""),"")</x:f>
      </x:c>
      <x:c r="F184" s="71"/>
      <x:c r="G184" s="71"/>
      <x:c r="H184" s="71"/>
      <x:c r="I184" s="71"/>
      <x:c r="J184" s="71"/>
      <x:c r="K184" s="46"/>
      <x:c r="L184" s="46"/>
      <x:c r="M184" s="46"/>
      <x:c r="N184" s="46"/>
      <x:c r="O184" s="46"/>
      <x:c r="P184" s="46"/>
      <x:c r="Q184" s="47" t="str">
        <x:f>IF(C184="","",IF(OR(J184&gt;IFERROR(INDEX('Normal Parameters'!$G$5:$G$104,MATCH(1,('Normal Parameters'!$A$5:$A$104=D184)*('Normal Parameters'!$B$5:$B$104=E184)*('Normal Parameters'!$C$5:$C$104="Behavior Score"),0)),99),F184&lt;IFERROR(INDEX('Normal Parameters'!$E$5:$E$104,MATCH(1,('Normal Parameters'!$A$5:$A$104=D184)*('Normal Parameters'!$B$5:$B$104=E184)*('Normal Parameters'!$C$5:$C$104="Weight"),0)),0),F184&gt;IFERROR(INDEX('Normal Parameters'!$G$5:$G$104,MATCH(1,('Normal Parameters'!$A$5:$A$104=D184)*('Normal Parameters'!$B$5:$B$104=E184)*('Normal Parameters'!$C$5:$C$104="Weight"),0)),9999),I184&lt;IFERROR(INDEX('Normal Parameters'!$E$5:$E$104,MATCH(1,('Normal Parameters'!$A$5:$A$104=D184)*('Normal Parameters'!$B$5:$B$104=E184)*('Normal Parameters'!$C$5:$C$104="Temperature"),0)),0),I184&gt;IFERROR(INDEX('Normal Parameters'!$G$5:$G$104,MATCH(1,('Normal Parameters'!$A$5:$A$104=D184)*('Normal Parameters'!$B$5:$B$104=E184)*('Normal Parameters'!$C$5:$C$104="Temperature"),0)),9999)),"Check","Normal"))</x:f>
      </x:c>
    </x:row>
    <x:row r="185" ht="15" hidden="0" customHeight="1">
      <x:c r="A185" s="74"/>
      <x:c r="B185" s="46"/>
      <x:c r="C185" s="46"/>
      <x:c r="D185" s="46" t="str">
        <x:f>IFERROR(XLOOKUP(C185,'Animals'!$A$5:$A$104,'Animals'!$C$5:$C$104,""),"")</x:f>
      </x:c>
      <x:c r="E185" s="46" t="str">
        <x:f>IFERROR(XLOOKUP(C185,'Animals'!$A$5:$A$104,'Animals'!$H$5:$H$104,""),"")</x:f>
      </x:c>
      <x:c r="F185" s="71"/>
      <x:c r="G185" s="71"/>
      <x:c r="H185" s="71"/>
      <x:c r="I185" s="71"/>
      <x:c r="J185" s="71"/>
      <x:c r="K185" s="46"/>
      <x:c r="L185" s="46"/>
      <x:c r="M185" s="46"/>
      <x:c r="N185" s="46"/>
      <x:c r="O185" s="46"/>
      <x:c r="P185" s="46"/>
      <x:c r="Q185" s="47" t="str">
        <x:f>IF(C185="","",IF(OR(J185&gt;IFERROR(INDEX('Normal Parameters'!$G$5:$G$104,MATCH(1,('Normal Parameters'!$A$5:$A$104=D185)*('Normal Parameters'!$B$5:$B$104=E185)*('Normal Parameters'!$C$5:$C$104="Behavior Score"),0)),99),F185&lt;IFERROR(INDEX('Normal Parameters'!$E$5:$E$104,MATCH(1,('Normal Parameters'!$A$5:$A$104=D185)*('Normal Parameters'!$B$5:$B$104=E185)*('Normal Parameters'!$C$5:$C$104="Weight"),0)),0),F185&gt;IFERROR(INDEX('Normal Parameters'!$G$5:$G$104,MATCH(1,('Normal Parameters'!$A$5:$A$104=D185)*('Normal Parameters'!$B$5:$B$104=E185)*('Normal Parameters'!$C$5:$C$104="Weight"),0)),9999),I185&lt;IFERROR(INDEX('Normal Parameters'!$E$5:$E$104,MATCH(1,('Normal Parameters'!$A$5:$A$104=D185)*('Normal Parameters'!$B$5:$B$104=E185)*('Normal Parameters'!$C$5:$C$104="Temperature"),0)),0),I185&gt;IFERROR(INDEX('Normal Parameters'!$G$5:$G$104,MATCH(1,('Normal Parameters'!$A$5:$A$104=D185)*('Normal Parameters'!$B$5:$B$104=E185)*('Normal Parameters'!$C$5:$C$104="Temperature"),0)),9999)),"Check","Normal"))</x:f>
      </x:c>
    </x:row>
    <x:row r="186" ht="15" hidden="0" customHeight="1">
      <x:c r="A186" s="74"/>
      <x:c r="B186" s="46"/>
      <x:c r="C186" s="46"/>
      <x:c r="D186" s="46" t="str">
        <x:f>IFERROR(XLOOKUP(C186,'Animals'!$A$5:$A$104,'Animals'!$C$5:$C$104,""),"")</x:f>
      </x:c>
      <x:c r="E186" s="46" t="str">
        <x:f>IFERROR(XLOOKUP(C186,'Animals'!$A$5:$A$104,'Animals'!$H$5:$H$104,""),"")</x:f>
      </x:c>
      <x:c r="F186" s="71"/>
      <x:c r="G186" s="71"/>
      <x:c r="H186" s="71"/>
      <x:c r="I186" s="71"/>
      <x:c r="J186" s="71"/>
      <x:c r="K186" s="46"/>
      <x:c r="L186" s="46"/>
      <x:c r="M186" s="46"/>
      <x:c r="N186" s="46"/>
      <x:c r="O186" s="46"/>
      <x:c r="P186" s="46"/>
      <x:c r="Q186" s="47" t="str">
        <x:f>IF(C186="","",IF(OR(J186&gt;IFERROR(INDEX('Normal Parameters'!$G$5:$G$104,MATCH(1,('Normal Parameters'!$A$5:$A$104=D186)*('Normal Parameters'!$B$5:$B$104=E186)*('Normal Parameters'!$C$5:$C$104="Behavior Score"),0)),99),F186&lt;IFERROR(INDEX('Normal Parameters'!$E$5:$E$104,MATCH(1,('Normal Parameters'!$A$5:$A$104=D186)*('Normal Parameters'!$B$5:$B$104=E186)*('Normal Parameters'!$C$5:$C$104="Weight"),0)),0),F186&gt;IFERROR(INDEX('Normal Parameters'!$G$5:$G$104,MATCH(1,('Normal Parameters'!$A$5:$A$104=D186)*('Normal Parameters'!$B$5:$B$104=E186)*('Normal Parameters'!$C$5:$C$104="Weight"),0)),9999),I186&lt;IFERROR(INDEX('Normal Parameters'!$E$5:$E$104,MATCH(1,('Normal Parameters'!$A$5:$A$104=D186)*('Normal Parameters'!$B$5:$B$104=E186)*('Normal Parameters'!$C$5:$C$104="Temperature"),0)),0),I186&gt;IFERROR(INDEX('Normal Parameters'!$G$5:$G$104,MATCH(1,('Normal Parameters'!$A$5:$A$104=D186)*('Normal Parameters'!$B$5:$B$104=E186)*('Normal Parameters'!$C$5:$C$104="Temperature"),0)),9999)),"Check","Normal"))</x:f>
      </x:c>
    </x:row>
    <x:row r="187" ht="15" hidden="0" customHeight="1">
      <x:c r="A187" s="74"/>
      <x:c r="B187" s="46"/>
      <x:c r="C187" s="46"/>
      <x:c r="D187" s="46" t="str">
        <x:f>IFERROR(XLOOKUP(C187,'Animals'!$A$5:$A$104,'Animals'!$C$5:$C$104,""),"")</x:f>
      </x:c>
      <x:c r="E187" s="46" t="str">
        <x:f>IFERROR(XLOOKUP(C187,'Animals'!$A$5:$A$104,'Animals'!$H$5:$H$104,""),"")</x:f>
      </x:c>
      <x:c r="F187" s="71"/>
      <x:c r="G187" s="71"/>
      <x:c r="H187" s="71"/>
      <x:c r="I187" s="71"/>
      <x:c r="J187" s="71"/>
      <x:c r="K187" s="46"/>
      <x:c r="L187" s="46"/>
      <x:c r="M187" s="46"/>
      <x:c r="N187" s="46"/>
      <x:c r="O187" s="46"/>
      <x:c r="P187" s="46"/>
      <x:c r="Q187" s="47" t="str">
        <x:f>IF(C187="","",IF(OR(J187&gt;IFERROR(INDEX('Normal Parameters'!$G$5:$G$104,MATCH(1,('Normal Parameters'!$A$5:$A$104=D187)*('Normal Parameters'!$B$5:$B$104=E187)*('Normal Parameters'!$C$5:$C$104="Behavior Score"),0)),99),F187&lt;IFERROR(INDEX('Normal Parameters'!$E$5:$E$104,MATCH(1,('Normal Parameters'!$A$5:$A$104=D187)*('Normal Parameters'!$B$5:$B$104=E187)*('Normal Parameters'!$C$5:$C$104="Weight"),0)),0),F187&gt;IFERROR(INDEX('Normal Parameters'!$G$5:$G$104,MATCH(1,('Normal Parameters'!$A$5:$A$104=D187)*('Normal Parameters'!$B$5:$B$104=E187)*('Normal Parameters'!$C$5:$C$104="Weight"),0)),9999),I187&lt;IFERROR(INDEX('Normal Parameters'!$E$5:$E$104,MATCH(1,('Normal Parameters'!$A$5:$A$104=D187)*('Normal Parameters'!$B$5:$B$104=E187)*('Normal Parameters'!$C$5:$C$104="Temperature"),0)),0),I187&gt;IFERROR(INDEX('Normal Parameters'!$G$5:$G$104,MATCH(1,('Normal Parameters'!$A$5:$A$104=D187)*('Normal Parameters'!$B$5:$B$104=E187)*('Normal Parameters'!$C$5:$C$104="Temperature"),0)),9999)),"Check","Normal"))</x:f>
      </x:c>
    </x:row>
    <x:row r="188" ht="15" hidden="0" customHeight="1">
      <x:c r="A188" s="74"/>
      <x:c r="B188" s="46"/>
      <x:c r="C188" s="46"/>
      <x:c r="D188" s="46" t="str">
        <x:f>IFERROR(XLOOKUP(C188,'Animals'!$A$5:$A$104,'Animals'!$C$5:$C$104,""),"")</x:f>
      </x:c>
      <x:c r="E188" s="46" t="str">
        <x:f>IFERROR(XLOOKUP(C188,'Animals'!$A$5:$A$104,'Animals'!$H$5:$H$104,""),"")</x:f>
      </x:c>
      <x:c r="F188" s="71"/>
      <x:c r="G188" s="71"/>
      <x:c r="H188" s="71"/>
      <x:c r="I188" s="71"/>
      <x:c r="J188" s="71"/>
      <x:c r="K188" s="46"/>
      <x:c r="L188" s="46"/>
      <x:c r="M188" s="46"/>
      <x:c r="N188" s="46"/>
      <x:c r="O188" s="46"/>
      <x:c r="P188" s="46"/>
      <x:c r="Q188" s="47" t="str">
        <x:f>IF(C188="","",IF(OR(J188&gt;IFERROR(INDEX('Normal Parameters'!$G$5:$G$104,MATCH(1,('Normal Parameters'!$A$5:$A$104=D188)*('Normal Parameters'!$B$5:$B$104=E188)*('Normal Parameters'!$C$5:$C$104="Behavior Score"),0)),99),F188&lt;IFERROR(INDEX('Normal Parameters'!$E$5:$E$104,MATCH(1,('Normal Parameters'!$A$5:$A$104=D188)*('Normal Parameters'!$B$5:$B$104=E188)*('Normal Parameters'!$C$5:$C$104="Weight"),0)),0),F188&gt;IFERROR(INDEX('Normal Parameters'!$G$5:$G$104,MATCH(1,('Normal Parameters'!$A$5:$A$104=D188)*('Normal Parameters'!$B$5:$B$104=E188)*('Normal Parameters'!$C$5:$C$104="Weight"),0)),9999),I188&lt;IFERROR(INDEX('Normal Parameters'!$E$5:$E$104,MATCH(1,('Normal Parameters'!$A$5:$A$104=D188)*('Normal Parameters'!$B$5:$B$104=E188)*('Normal Parameters'!$C$5:$C$104="Temperature"),0)),0),I188&gt;IFERROR(INDEX('Normal Parameters'!$G$5:$G$104,MATCH(1,('Normal Parameters'!$A$5:$A$104=D188)*('Normal Parameters'!$B$5:$B$104=E188)*('Normal Parameters'!$C$5:$C$104="Temperature"),0)),9999)),"Check","Normal"))</x:f>
      </x:c>
    </x:row>
    <x:row r="189" ht="15" hidden="0" customHeight="1">
      <x:c r="A189" s="74"/>
      <x:c r="B189" s="46"/>
      <x:c r="C189" s="46"/>
      <x:c r="D189" s="46" t="str">
        <x:f>IFERROR(XLOOKUP(C189,'Animals'!$A$5:$A$104,'Animals'!$C$5:$C$104,""),"")</x:f>
      </x:c>
      <x:c r="E189" s="46" t="str">
        <x:f>IFERROR(XLOOKUP(C189,'Animals'!$A$5:$A$104,'Animals'!$H$5:$H$104,""),"")</x:f>
      </x:c>
      <x:c r="F189" s="71"/>
      <x:c r="G189" s="71"/>
      <x:c r="H189" s="71"/>
      <x:c r="I189" s="71"/>
      <x:c r="J189" s="71"/>
      <x:c r="K189" s="46"/>
      <x:c r="L189" s="46"/>
      <x:c r="M189" s="46"/>
      <x:c r="N189" s="46"/>
      <x:c r="O189" s="46"/>
      <x:c r="P189" s="46"/>
      <x:c r="Q189" s="47" t="str">
        <x:f>IF(C189="","",IF(OR(J189&gt;IFERROR(INDEX('Normal Parameters'!$G$5:$G$104,MATCH(1,('Normal Parameters'!$A$5:$A$104=D189)*('Normal Parameters'!$B$5:$B$104=E189)*('Normal Parameters'!$C$5:$C$104="Behavior Score"),0)),99),F189&lt;IFERROR(INDEX('Normal Parameters'!$E$5:$E$104,MATCH(1,('Normal Parameters'!$A$5:$A$104=D189)*('Normal Parameters'!$B$5:$B$104=E189)*('Normal Parameters'!$C$5:$C$104="Weight"),0)),0),F189&gt;IFERROR(INDEX('Normal Parameters'!$G$5:$G$104,MATCH(1,('Normal Parameters'!$A$5:$A$104=D189)*('Normal Parameters'!$B$5:$B$104=E189)*('Normal Parameters'!$C$5:$C$104="Weight"),0)),9999),I189&lt;IFERROR(INDEX('Normal Parameters'!$E$5:$E$104,MATCH(1,('Normal Parameters'!$A$5:$A$104=D189)*('Normal Parameters'!$B$5:$B$104=E189)*('Normal Parameters'!$C$5:$C$104="Temperature"),0)),0),I189&gt;IFERROR(INDEX('Normal Parameters'!$G$5:$G$104,MATCH(1,('Normal Parameters'!$A$5:$A$104=D189)*('Normal Parameters'!$B$5:$B$104=E189)*('Normal Parameters'!$C$5:$C$104="Temperature"),0)),9999)),"Check","Normal"))</x:f>
      </x:c>
    </x:row>
    <x:row r="190" ht="15" hidden="0" customHeight="1">
      <x:c r="A190" s="74"/>
      <x:c r="B190" s="46"/>
      <x:c r="C190" s="46"/>
      <x:c r="D190" s="46" t="str">
        <x:f>IFERROR(XLOOKUP(C190,'Animals'!$A$5:$A$104,'Animals'!$C$5:$C$104,""),"")</x:f>
      </x:c>
      <x:c r="E190" s="46" t="str">
        <x:f>IFERROR(XLOOKUP(C190,'Animals'!$A$5:$A$104,'Animals'!$H$5:$H$104,""),"")</x:f>
      </x:c>
      <x:c r="F190" s="71"/>
      <x:c r="G190" s="71"/>
      <x:c r="H190" s="71"/>
      <x:c r="I190" s="71"/>
      <x:c r="J190" s="71"/>
      <x:c r="K190" s="46"/>
      <x:c r="L190" s="46"/>
      <x:c r="M190" s="46"/>
      <x:c r="N190" s="46"/>
      <x:c r="O190" s="46"/>
      <x:c r="P190" s="46"/>
      <x:c r="Q190" s="47" t="str">
        <x:f>IF(C190="","",IF(OR(J190&gt;IFERROR(INDEX('Normal Parameters'!$G$5:$G$104,MATCH(1,('Normal Parameters'!$A$5:$A$104=D190)*('Normal Parameters'!$B$5:$B$104=E190)*('Normal Parameters'!$C$5:$C$104="Behavior Score"),0)),99),F190&lt;IFERROR(INDEX('Normal Parameters'!$E$5:$E$104,MATCH(1,('Normal Parameters'!$A$5:$A$104=D190)*('Normal Parameters'!$B$5:$B$104=E190)*('Normal Parameters'!$C$5:$C$104="Weight"),0)),0),F190&gt;IFERROR(INDEX('Normal Parameters'!$G$5:$G$104,MATCH(1,('Normal Parameters'!$A$5:$A$104=D190)*('Normal Parameters'!$B$5:$B$104=E190)*('Normal Parameters'!$C$5:$C$104="Weight"),0)),9999),I190&lt;IFERROR(INDEX('Normal Parameters'!$E$5:$E$104,MATCH(1,('Normal Parameters'!$A$5:$A$104=D190)*('Normal Parameters'!$B$5:$B$104=E190)*('Normal Parameters'!$C$5:$C$104="Temperature"),0)),0),I190&gt;IFERROR(INDEX('Normal Parameters'!$G$5:$G$104,MATCH(1,('Normal Parameters'!$A$5:$A$104=D190)*('Normal Parameters'!$B$5:$B$104=E190)*('Normal Parameters'!$C$5:$C$104="Temperature"),0)),9999)),"Check","Normal"))</x:f>
      </x:c>
    </x:row>
    <x:row r="191" ht="15" hidden="0" customHeight="1">
      <x:c r="A191" s="74"/>
      <x:c r="B191" s="46"/>
      <x:c r="C191" s="46"/>
      <x:c r="D191" s="46" t="str">
        <x:f>IFERROR(XLOOKUP(C191,'Animals'!$A$5:$A$104,'Animals'!$C$5:$C$104,""),"")</x:f>
      </x:c>
      <x:c r="E191" s="46" t="str">
        <x:f>IFERROR(XLOOKUP(C191,'Animals'!$A$5:$A$104,'Animals'!$H$5:$H$104,""),"")</x:f>
      </x:c>
      <x:c r="F191" s="71"/>
      <x:c r="G191" s="71"/>
      <x:c r="H191" s="71"/>
      <x:c r="I191" s="71"/>
      <x:c r="J191" s="71"/>
      <x:c r="K191" s="46"/>
      <x:c r="L191" s="46"/>
      <x:c r="M191" s="46"/>
      <x:c r="N191" s="46"/>
      <x:c r="O191" s="46"/>
      <x:c r="P191" s="46"/>
      <x:c r="Q191" s="47" t="str">
        <x:f>IF(C191="","",IF(OR(J191&gt;IFERROR(INDEX('Normal Parameters'!$G$5:$G$104,MATCH(1,('Normal Parameters'!$A$5:$A$104=D191)*('Normal Parameters'!$B$5:$B$104=E191)*('Normal Parameters'!$C$5:$C$104="Behavior Score"),0)),99),F191&lt;IFERROR(INDEX('Normal Parameters'!$E$5:$E$104,MATCH(1,('Normal Parameters'!$A$5:$A$104=D191)*('Normal Parameters'!$B$5:$B$104=E191)*('Normal Parameters'!$C$5:$C$104="Weight"),0)),0),F191&gt;IFERROR(INDEX('Normal Parameters'!$G$5:$G$104,MATCH(1,('Normal Parameters'!$A$5:$A$104=D191)*('Normal Parameters'!$B$5:$B$104=E191)*('Normal Parameters'!$C$5:$C$104="Weight"),0)),9999),I191&lt;IFERROR(INDEX('Normal Parameters'!$E$5:$E$104,MATCH(1,('Normal Parameters'!$A$5:$A$104=D191)*('Normal Parameters'!$B$5:$B$104=E191)*('Normal Parameters'!$C$5:$C$104="Temperature"),0)),0),I191&gt;IFERROR(INDEX('Normal Parameters'!$G$5:$G$104,MATCH(1,('Normal Parameters'!$A$5:$A$104=D191)*('Normal Parameters'!$B$5:$B$104=E191)*('Normal Parameters'!$C$5:$C$104="Temperature"),0)),9999)),"Check","Normal"))</x:f>
      </x:c>
    </x:row>
    <x:row r="192" ht="15" hidden="0" customHeight="1">
      <x:c r="A192" s="74"/>
      <x:c r="B192" s="46"/>
      <x:c r="C192" s="46"/>
      <x:c r="D192" s="46" t="str">
        <x:f>IFERROR(XLOOKUP(C192,'Animals'!$A$5:$A$104,'Animals'!$C$5:$C$104,""),"")</x:f>
      </x:c>
      <x:c r="E192" s="46" t="str">
        <x:f>IFERROR(XLOOKUP(C192,'Animals'!$A$5:$A$104,'Animals'!$H$5:$H$104,""),"")</x:f>
      </x:c>
      <x:c r="F192" s="71"/>
      <x:c r="G192" s="71"/>
      <x:c r="H192" s="71"/>
      <x:c r="I192" s="71"/>
      <x:c r="J192" s="71"/>
      <x:c r="K192" s="46"/>
      <x:c r="L192" s="46"/>
      <x:c r="M192" s="46"/>
      <x:c r="N192" s="46"/>
      <x:c r="O192" s="46"/>
      <x:c r="P192" s="46"/>
      <x:c r="Q192" s="47" t="str">
        <x:f>IF(C192="","",IF(OR(J192&gt;IFERROR(INDEX('Normal Parameters'!$G$5:$G$104,MATCH(1,('Normal Parameters'!$A$5:$A$104=D192)*('Normal Parameters'!$B$5:$B$104=E192)*('Normal Parameters'!$C$5:$C$104="Behavior Score"),0)),99),F192&lt;IFERROR(INDEX('Normal Parameters'!$E$5:$E$104,MATCH(1,('Normal Parameters'!$A$5:$A$104=D192)*('Normal Parameters'!$B$5:$B$104=E192)*('Normal Parameters'!$C$5:$C$104="Weight"),0)),0),F192&gt;IFERROR(INDEX('Normal Parameters'!$G$5:$G$104,MATCH(1,('Normal Parameters'!$A$5:$A$104=D192)*('Normal Parameters'!$B$5:$B$104=E192)*('Normal Parameters'!$C$5:$C$104="Weight"),0)),9999),I192&lt;IFERROR(INDEX('Normal Parameters'!$E$5:$E$104,MATCH(1,('Normal Parameters'!$A$5:$A$104=D192)*('Normal Parameters'!$B$5:$B$104=E192)*('Normal Parameters'!$C$5:$C$104="Temperature"),0)),0),I192&gt;IFERROR(INDEX('Normal Parameters'!$G$5:$G$104,MATCH(1,('Normal Parameters'!$A$5:$A$104=D192)*('Normal Parameters'!$B$5:$B$104=E192)*('Normal Parameters'!$C$5:$C$104="Temperature"),0)),9999)),"Check","Normal"))</x:f>
      </x:c>
    </x:row>
    <x:row r="193" ht="15" hidden="0" customHeight="1">
      <x:c r="A193" s="74"/>
      <x:c r="B193" s="46"/>
      <x:c r="C193" s="46"/>
      <x:c r="D193" s="46" t="str">
        <x:f>IFERROR(XLOOKUP(C193,'Animals'!$A$5:$A$104,'Animals'!$C$5:$C$104,""),"")</x:f>
      </x:c>
      <x:c r="E193" s="46" t="str">
        <x:f>IFERROR(XLOOKUP(C193,'Animals'!$A$5:$A$104,'Animals'!$H$5:$H$104,""),"")</x:f>
      </x:c>
      <x:c r="F193" s="71"/>
      <x:c r="G193" s="71"/>
      <x:c r="H193" s="71"/>
      <x:c r="I193" s="71"/>
      <x:c r="J193" s="71"/>
      <x:c r="K193" s="46"/>
      <x:c r="L193" s="46"/>
      <x:c r="M193" s="46"/>
      <x:c r="N193" s="46"/>
      <x:c r="O193" s="46"/>
      <x:c r="P193" s="46"/>
      <x:c r="Q193" s="47" t="str">
        <x:f>IF(C193="","",IF(OR(J193&gt;IFERROR(INDEX('Normal Parameters'!$G$5:$G$104,MATCH(1,('Normal Parameters'!$A$5:$A$104=D193)*('Normal Parameters'!$B$5:$B$104=E193)*('Normal Parameters'!$C$5:$C$104="Behavior Score"),0)),99),F193&lt;IFERROR(INDEX('Normal Parameters'!$E$5:$E$104,MATCH(1,('Normal Parameters'!$A$5:$A$104=D193)*('Normal Parameters'!$B$5:$B$104=E193)*('Normal Parameters'!$C$5:$C$104="Weight"),0)),0),F193&gt;IFERROR(INDEX('Normal Parameters'!$G$5:$G$104,MATCH(1,('Normal Parameters'!$A$5:$A$104=D193)*('Normal Parameters'!$B$5:$B$104=E193)*('Normal Parameters'!$C$5:$C$104="Weight"),0)),9999),I193&lt;IFERROR(INDEX('Normal Parameters'!$E$5:$E$104,MATCH(1,('Normal Parameters'!$A$5:$A$104=D193)*('Normal Parameters'!$B$5:$B$104=E193)*('Normal Parameters'!$C$5:$C$104="Temperature"),0)),0),I193&gt;IFERROR(INDEX('Normal Parameters'!$G$5:$G$104,MATCH(1,('Normal Parameters'!$A$5:$A$104=D193)*('Normal Parameters'!$B$5:$B$104=E193)*('Normal Parameters'!$C$5:$C$104="Temperature"),0)),9999)),"Check","Normal"))</x:f>
      </x:c>
    </x:row>
    <x:row r="194" ht="15" hidden="0" customHeight="1">
      <x:c r="A194" s="74"/>
      <x:c r="B194" s="46"/>
      <x:c r="C194" s="46"/>
      <x:c r="D194" s="46" t="str">
        <x:f>IFERROR(XLOOKUP(C194,'Animals'!$A$5:$A$104,'Animals'!$C$5:$C$104,""),"")</x:f>
      </x:c>
      <x:c r="E194" s="46" t="str">
        <x:f>IFERROR(XLOOKUP(C194,'Animals'!$A$5:$A$104,'Animals'!$H$5:$H$104,""),"")</x:f>
      </x:c>
      <x:c r="F194" s="71"/>
      <x:c r="G194" s="71"/>
      <x:c r="H194" s="71"/>
      <x:c r="I194" s="71"/>
      <x:c r="J194" s="71"/>
      <x:c r="K194" s="46"/>
      <x:c r="L194" s="46"/>
      <x:c r="M194" s="46"/>
      <x:c r="N194" s="46"/>
      <x:c r="O194" s="46"/>
      <x:c r="P194" s="46"/>
      <x:c r="Q194" s="47" t="str">
        <x:f>IF(C194="","",IF(OR(J194&gt;IFERROR(INDEX('Normal Parameters'!$G$5:$G$104,MATCH(1,('Normal Parameters'!$A$5:$A$104=D194)*('Normal Parameters'!$B$5:$B$104=E194)*('Normal Parameters'!$C$5:$C$104="Behavior Score"),0)),99),F194&lt;IFERROR(INDEX('Normal Parameters'!$E$5:$E$104,MATCH(1,('Normal Parameters'!$A$5:$A$104=D194)*('Normal Parameters'!$B$5:$B$104=E194)*('Normal Parameters'!$C$5:$C$104="Weight"),0)),0),F194&gt;IFERROR(INDEX('Normal Parameters'!$G$5:$G$104,MATCH(1,('Normal Parameters'!$A$5:$A$104=D194)*('Normal Parameters'!$B$5:$B$104=E194)*('Normal Parameters'!$C$5:$C$104="Weight"),0)),9999),I194&lt;IFERROR(INDEX('Normal Parameters'!$E$5:$E$104,MATCH(1,('Normal Parameters'!$A$5:$A$104=D194)*('Normal Parameters'!$B$5:$B$104=E194)*('Normal Parameters'!$C$5:$C$104="Temperature"),0)),0),I194&gt;IFERROR(INDEX('Normal Parameters'!$G$5:$G$104,MATCH(1,('Normal Parameters'!$A$5:$A$104=D194)*('Normal Parameters'!$B$5:$B$104=E194)*('Normal Parameters'!$C$5:$C$104="Temperature"),0)),9999)),"Check","Normal"))</x:f>
      </x:c>
    </x:row>
    <x:row r="195" ht="15" hidden="0" customHeight="1">
      <x:c r="A195" s="74"/>
      <x:c r="B195" s="46"/>
      <x:c r="C195" s="46"/>
      <x:c r="D195" s="46" t="str">
        <x:f>IFERROR(XLOOKUP(C195,'Animals'!$A$5:$A$104,'Animals'!$C$5:$C$104,""),"")</x:f>
      </x:c>
      <x:c r="E195" s="46" t="str">
        <x:f>IFERROR(XLOOKUP(C195,'Animals'!$A$5:$A$104,'Animals'!$H$5:$H$104,""),"")</x:f>
      </x:c>
      <x:c r="F195" s="71"/>
      <x:c r="G195" s="71"/>
      <x:c r="H195" s="71"/>
      <x:c r="I195" s="71"/>
      <x:c r="J195" s="71"/>
      <x:c r="K195" s="46"/>
      <x:c r="L195" s="46"/>
      <x:c r="M195" s="46"/>
      <x:c r="N195" s="46"/>
      <x:c r="O195" s="46"/>
      <x:c r="P195" s="46"/>
      <x:c r="Q195" s="47" t="str">
        <x:f>IF(C195="","",IF(OR(J195&gt;IFERROR(INDEX('Normal Parameters'!$G$5:$G$104,MATCH(1,('Normal Parameters'!$A$5:$A$104=D195)*('Normal Parameters'!$B$5:$B$104=E195)*('Normal Parameters'!$C$5:$C$104="Behavior Score"),0)),99),F195&lt;IFERROR(INDEX('Normal Parameters'!$E$5:$E$104,MATCH(1,('Normal Parameters'!$A$5:$A$104=D195)*('Normal Parameters'!$B$5:$B$104=E195)*('Normal Parameters'!$C$5:$C$104="Weight"),0)),0),F195&gt;IFERROR(INDEX('Normal Parameters'!$G$5:$G$104,MATCH(1,('Normal Parameters'!$A$5:$A$104=D195)*('Normal Parameters'!$B$5:$B$104=E195)*('Normal Parameters'!$C$5:$C$104="Weight"),0)),9999),I195&lt;IFERROR(INDEX('Normal Parameters'!$E$5:$E$104,MATCH(1,('Normal Parameters'!$A$5:$A$104=D195)*('Normal Parameters'!$B$5:$B$104=E195)*('Normal Parameters'!$C$5:$C$104="Temperature"),0)),0),I195&gt;IFERROR(INDEX('Normal Parameters'!$G$5:$G$104,MATCH(1,('Normal Parameters'!$A$5:$A$104=D195)*('Normal Parameters'!$B$5:$B$104=E195)*('Normal Parameters'!$C$5:$C$104="Temperature"),0)),9999)),"Check","Normal"))</x:f>
      </x:c>
    </x:row>
    <x:row r="196" ht="15" hidden="0" customHeight="1">
      <x:c r="A196" s="74"/>
      <x:c r="B196" s="46"/>
      <x:c r="C196" s="46"/>
      <x:c r="D196" s="46" t="str">
        <x:f>IFERROR(XLOOKUP(C196,'Animals'!$A$5:$A$104,'Animals'!$C$5:$C$104,""),"")</x:f>
      </x:c>
      <x:c r="E196" s="46" t="str">
        <x:f>IFERROR(XLOOKUP(C196,'Animals'!$A$5:$A$104,'Animals'!$H$5:$H$104,""),"")</x:f>
      </x:c>
      <x:c r="F196" s="71"/>
      <x:c r="G196" s="71"/>
      <x:c r="H196" s="71"/>
      <x:c r="I196" s="71"/>
      <x:c r="J196" s="71"/>
      <x:c r="K196" s="46"/>
      <x:c r="L196" s="46"/>
      <x:c r="M196" s="46"/>
      <x:c r="N196" s="46"/>
      <x:c r="O196" s="46"/>
      <x:c r="P196" s="46"/>
      <x:c r="Q196" s="47" t="str">
        <x:f>IF(C196="","",IF(OR(J196&gt;IFERROR(INDEX('Normal Parameters'!$G$5:$G$104,MATCH(1,('Normal Parameters'!$A$5:$A$104=D196)*('Normal Parameters'!$B$5:$B$104=E196)*('Normal Parameters'!$C$5:$C$104="Behavior Score"),0)),99),F196&lt;IFERROR(INDEX('Normal Parameters'!$E$5:$E$104,MATCH(1,('Normal Parameters'!$A$5:$A$104=D196)*('Normal Parameters'!$B$5:$B$104=E196)*('Normal Parameters'!$C$5:$C$104="Weight"),0)),0),F196&gt;IFERROR(INDEX('Normal Parameters'!$G$5:$G$104,MATCH(1,('Normal Parameters'!$A$5:$A$104=D196)*('Normal Parameters'!$B$5:$B$104=E196)*('Normal Parameters'!$C$5:$C$104="Weight"),0)),9999),I196&lt;IFERROR(INDEX('Normal Parameters'!$E$5:$E$104,MATCH(1,('Normal Parameters'!$A$5:$A$104=D196)*('Normal Parameters'!$B$5:$B$104=E196)*('Normal Parameters'!$C$5:$C$104="Temperature"),0)),0),I196&gt;IFERROR(INDEX('Normal Parameters'!$G$5:$G$104,MATCH(1,('Normal Parameters'!$A$5:$A$104=D196)*('Normal Parameters'!$B$5:$B$104=E196)*('Normal Parameters'!$C$5:$C$104="Temperature"),0)),9999)),"Check","Normal"))</x:f>
      </x:c>
    </x:row>
    <x:row r="197" ht="15" hidden="0" customHeight="1">
      <x:c r="A197" s="74"/>
      <x:c r="B197" s="46"/>
      <x:c r="C197" s="46"/>
      <x:c r="D197" s="46" t="str">
        <x:f>IFERROR(XLOOKUP(C197,'Animals'!$A$5:$A$104,'Animals'!$C$5:$C$104,""),"")</x:f>
      </x:c>
      <x:c r="E197" s="46" t="str">
        <x:f>IFERROR(XLOOKUP(C197,'Animals'!$A$5:$A$104,'Animals'!$H$5:$H$104,""),"")</x:f>
      </x:c>
      <x:c r="F197" s="71"/>
      <x:c r="G197" s="71"/>
      <x:c r="H197" s="71"/>
      <x:c r="I197" s="71"/>
      <x:c r="J197" s="71"/>
      <x:c r="K197" s="46"/>
      <x:c r="L197" s="46"/>
      <x:c r="M197" s="46"/>
      <x:c r="N197" s="46"/>
      <x:c r="O197" s="46"/>
      <x:c r="P197" s="46"/>
      <x:c r="Q197" s="47" t="str">
        <x:f>IF(C197="","",IF(OR(J197&gt;IFERROR(INDEX('Normal Parameters'!$G$5:$G$104,MATCH(1,('Normal Parameters'!$A$5:$A$104=D197)*('Normal Parameters'!$B$5:$B$104=E197)*('Normal Parameters'!$C$5:$C$104="Behavior Score"),0)),99),F197&lt;IFERROR(INDEX('Normal Parameters'!$E$5:$E$104,MATCH(1,('Normal Parameters'!$A$5:$A$104=D197)*('Normal Parameters'!$B$5:$B$104=E197)*('Normal Parameters'!$C$5:$C$104="Weight"),0)),0),F197&gt;IFERROR(INDEX('Normal Parameters'!$G$5:$G$104,MATCH(1,('Normal Parameters'!$A$5:$A$104=D197)*('Normal Parameters'!$B$5:$B$104=E197)*('Normal Parameters'!$C$5:$C$104="Weight"),0)),9999),I197&lt;IFERROR(INDEX('Normal Parameters'!$E$5:$E$104,MATCH(1,('Normal Parameters'!$A$5:$A$104=D197)*('Normal Parameters'!$B$5:$B$104=E197)*('Normal Parameters'!$C$5:$C$104="Temperature"),0)),0),I197&gt;IFERROR(INDEX('Normal Parameters'!$G$5:$G$104,MATCH(1,('Normal Parameters'!$A$5:$A$104=D197)*('Normal Parameters'!$B$5:$B$104=E197)*('Normal Parameters'!$C$5:$C$104="Temperature"),0)),9999)),"Check","Normal"))</x:f>
      </x:c>
    </x:row>
    <x:row r="198" ht="15" hidden="0" customHeight="1">
      <x:c r="A198" s="74"/>
      <x:c r="B198" s="46"/>
      <x:c r="C198" s="46"/>
      <x:c r="D198" s="46" t="str">
        <x:f>IFERROR(XLOOKUP(C198,'Animals'!$A$5:$A$104,'Animals'!$C$5:$C$104,""),"")</x:f>
      </x:c>
      <x:c r="E198" s="46" t="str">
        <x:f>IFERROR(XLOOKUP(C198,'Animals'!$A$5:$A$104,'Animals'!$H$5:$H$104,""),"")</x:f>
      </x:c>
      <x:c r="F198" s="71"/>
      <x:c r="G198" s="71"/>
      <x:c r="H198" s="71"/>
      <x:c r="I198" s="71"/>
      <x:c r="J198" s="71"/>
      <x:c r="K198" s="46"/>
      <x:c r="L198" s="46"/>
      <x:c r="M198" s="46"/>
      <x:c r="N198" s="46"/>
      <x:c r="O198" s="46"/>
      <x:c r="P198" s="46"/>
      <x:c r="Q198" s="47" t="str">
        <x:f>IF(C198="","",IF(OR(J198&gt;IFERROR(INDEX('Normal Parameters'!$G$5:$G$104,MATCH(1,('Normal Parameters'!$A$5:$A$104=D198)*('Normal Parameters'!$B$5:$B$104=E198)*('Normal Parameters'!$C$5:$C$104="Behavior Score"),0)),99),F198&lt;IFERROR(INDEX('Normal Parameters'!$E$5:$E$104,MATCH(1,('Normal Parameters'!$A$5:$A$104=D198)*('Normal Parameters'!$B$5:$B$104=E198)*('Normal Parameters'!$C$5:$C$104="Weight"),0)),0),F198&gt;IFERROR(INDEX('Normal Parameters'!$G$5:$G$104,MATCH(1,('Normal Parameters'!$A$5:$A$104=D198)*('Normal Parameters'!$B$5:$B$104=E198)*('Normal Parameters'!$C$5:$C$104="Weight"),0)),9999),I198&lt;IFERROR(INDEX('Normal Parameters'!$E$5:$E$104,MATCH(1,('Normal Parameters'!$A$5:$A$104=D198)*('Normal Parameters'!$B$5:$B$104=E198)*('Normal Parameters'!$C$5:$C$104="Temperature"),0)),0),I198&gt;IFERROR(INDEX('Normal Parameters'!$G$5:$G$104,MATCH(1,('Normal Parameters'!$A$5:$A$104=D198)*('Normal Parameters'!$B$5:$B$104=E198)*('Normal Parameters'!$C$5:$C$104="Temperature"),0)),9999)),"Check","Normal"))</x:f>
      </x:c>
    </x:row>
    <x:row r="199" ht="15" hidden="0" customHeight="1">
      <x:c r="A199" s="74"/>
      <x:c r="B199" s="46"/>
      <x:c r="C199" s="46"/>
      <x:c r="D199" s="46" t="str">
        <x:f>IFERROR(XLOOKUP(C199,'Animals'!$A$5:$A$104,'Animals'!$C$5:$C$104,""),"")</x:f>
      </x:c>
      <x:c r="E199" s="46" t="str">
        <x:f>IFERROR(XLOOKUP(C199,'Animals'!$A$5:$A$104,'Animals'!$H$5:$H$104,""),"")</x:f>
      </x:c>
      <x:c r="F199" s="71"/>
      <x:c r="G199" s="71"/>
      <x:c r="H199" s="71"/>
      <x:c r="I199" s="71"/>
      <x:c r="J199" s="71"/>
      <x:c r="K199" s="46"/>
      <x:c r="L199" s="46"/>
      <x:c r="M199" s="46"/>
      <x:c r="N199" s="46"/>
      <x:c r="O199" s="46"/>
      <x:c r="P199" s="46"/>
      <x:c r="Q199" s="47" t="str">
        <x:f>IF(C199="","",IF(OR(J199&gt;IFERROR(INDEX('Normal Parameters'!$G$5:$G$104,MATCH(1,('Normal Parameters'!$A$5:$A$104=D199)*('Normal Parameters'!$B$5:$B$104=E199)*('Normal Parameters'!$C$5:$C$104="Behavior Score"),0)),99),F199&lt;IFERROR(INDEX('Normal Parameters'!$E$5:$E$104,MATCH(1,('Normal Parameters'!$A$5:$A$104=D199)*('Normal Parameters'!$B$5:$B$104=E199)*('Normal Parameters'!$C$5:$C$104="Weight"),0)),0),F199&gt;IFERROR(INDEX('Normal Parameters'!$G$5:$G$104,MATCH(1,('Normal Parameters'!$A$5:$A$104=D199)*('Normal Parameters'!$B$5:$B$104=E199)*('Normal Parameters'!$C$5:$C$104="Weight"),0)),9999),I199&lt;IFERROR(INDEX('Normal Parameters'!$E$5:$E$104,MATCH(1,('Normal Parameters'!$A$5:$A$104=D199)*('Normal Parameters'!$B$5:$B$104=E199)*('Normal Parameters'!$C$5:$C$104="Temperature"),0)),0),I199&gt;IFERROR(INDEX('Normal Parameters'!$G$5:$G$104,MATCH(1,('Normal Parameters'!$A$5:$A$104=D199)*('Normal Parameters'!$B$5:$B$104=E199)*('Normal Parameters'!$C$5:$C$104="Temperature"),0)),9999)),"Check","Normal"))</x:f>
      </x:c>
    </x:row>
    <x:row r="200" ht="15" hidden="0" customHeight="1">
      <x:c r="A200" s="74"/>
      <x:c r="B200" s="46"/>
      <x:c r="C200" s="46"/>
      <x:c r="D200" s="46" t="str">
        <x:f>IFERROR(XLOOKUP(C200,'Animals'!$A$5:$A$104,'Animals'!$C$5:$C$104,""),"")</x:f>
      </x:c>
      <x:c r="E200" s="46" t="str">
        <x:f>IFERROR(XLOOKUP(C200,'Animals'!$A$5:$A$104,'Animals'!$H$5:$H$104,""),"")</x:f>
      </x:c>
      <x:c r="F200" s="71"/>
      <x:c r="G200" s="71"/>
      <x:c r="H200" s="71"/>
      <x:c r="I200" s="71"/>
      <x:c r="J200" s="71"/>
      <x:c r="K200" s="46"/>
      <x:c r="L200" s="46"/>
      <x:c r="M200" s="46"/>
      <x:c r="N200" s="46"/>
      <x:c r="O200" s="46"/>
      <x:c r="P200" s="46"/>
      <x:c r="Q200" s="47" t="str">
        <x:f>IF(C200="","",IF(OR(J200&gt;IFERROR(INDEX('Normal Parameters'!$G$5:$G$104,MATCH(1,('Normal Parameters'!$A$5:$A$104=D200)*('Normal Parameters'!$B$5:$B$104=E200)*('Normal Parameters'!$C$5:$C$104="Behavior Score"),0)),99),F200&lt;IFERROR(INDEX('Normal Parameters'!$E$5:$E$104,MATCH(1,('Normal Parameters'!$A$5:$A$104=D200)*('Normal Parameters'!$B$5:$B$104=E200)*('Normal Parameters'!$C$5:$C$104="Weight"),0)),0),F200&gt;IFERROR(INDEX('Normal Parameters'!$G$5:$G$104,MATCH(1,('Normal Parameters'!$A$5:$A$104=D200)*('Normal Parameters'!$B$5:$B$104=E200)*('Normal Parameters'!$C$5:$C$104="Weight"),0)),9999),I200&lt;IFERROR(INDEX('Normal Parameters'!$E$5:$E$104,MATCH(1,('Normal Parameters'!$A$5:$A$104=D200)*('Normal Parameters'!$B$5:$B$104=E200)*('Normal Parameters'!$C$5:$C$104="Temperature"),0)),0),I200&gt;IFERROR(INDEX('Normal Parameters'!$G$5:$G$104,MATCH(1,('Normal Parameters'!$A$5:$A$104=D200)*('Normal Parameters'!$B$5:$B$104=E200)*('Normal Parameters'!$C$5:$C$104="Temperature"),0)),9999)),"Check","Normal"))</x:f>
      </x:c>
    </x:row>
    <x:row r="201" ht="15" hidden="0" customHeight="1">
      <x:c r="A201" s="74"/>
      <x:c r="B201" s="46"/>
      <x:c r="C201" s="46"/>
      <x:c r="D201" s="46" t="str">
        <x:f>IFERROR(XLOOKUP(C201,'Animals'!$A$5:$A$104,'Animals'!$C$5:$C$104,""),"")</x:f>
      </x:c>
      <x:c r="E201" s="46" t="str">
        <x:f>IFERROR(XLOOKUP(C201,'Animals'!$A$5:$A$104,'Animals'!$H$5:$H$104,""),"")</x:f>
      </x:c>
      <x:c r="F201" s="71"/>
      <x:c r="G201" s="71"/>
      <x:c r="H201" s="71"/>
      <x:c r="I201" s="71"/>
      <x:c r="J201" s="71"/>
      <x:c r="K201" s="46"/>
      <x:c r="L201" s="46"/>
      <x:c r="M201" s="46"/>
      <x:c r="N201" s="46"/>
      <x:c r="O201" s="46"/>
      <x:c r="P201" s="46"/>
      <x:c r="Q201" s="47" t="str">
        <x:f>IF(C201="","",IF(OR(J201&gt;IFERROR(INDEX('Normal Parameters'!$G$5:$G$104,MATCH(1,('Normal Parameters'!$A$5:$A$104=D201)*('Normal Parameters'!$B$5:$B$104=E201)*('Normal Parameters'!$C$5:$C$104="Behavior Score"),0)),99),F201&lt;IFERROR(INDEX('Normal Parameters'!$E$5:$E$104,MATCH(1,('Normal Parameters'!$A$5:$A$104=D201)*('Normal Parameters'!$B$5:$B$104=E201)*('Normal Parameters'!$C$5:$C$104="Weight"),0)),0),F201&gt;IFERROR(INDEX('Normal Parameters'!$G$5:$G$104,MATCH(1,('Normal Parameters'!$A$5:$A$104=D201)*('Normal Parameters'!$B$5:$B$104=E201)*('Normal Parameters'!$C$5:$C$104="Weight"),0)),9999),I201&lt;IFERROR(INDEX('Normal Parameters'!$E$5:$E$104,MATCH(1,('Normal Parameters'!$A$5:$A$104=D201)*('Normal Parameters'!$B$5:$B$104=E201)*('Normal Parameters'!$C$5:$C$104="Temperature"),0)),0),I201&gt;IFERROR(INDEX('Normal Parameters'!$G$5:$G$104,MATCH(1,('Normal Parameters'!$A$5:$A$104=D201)*('Normal Parameters'!$B$5:$B$104=E201)*('Normal Parameters'!$C$5:$C$104="Temperature"),0)),9999)),"Check","Normal"))</x:f>
      </x:c>
    </x:row>
    <x:row r="202" ht="15" hidden="0" customHeight="1">
      <x:c r="A202" s="74"/>
      <x:c r="B202" s="46"/>
      <x:c r="C202" s="46"/>
      <x:c r="D202" s="46" t="str">
        <x:f>IFERROR(XLOOKUP(C202,'Animals'!$A$5:$A$104,'Animals'!$C$5:$C$104,""),"")</x:f>
      </x:c>
      <x:c r="E202" s="46" t="str">
        <x:f>IFERROR(XLOOKUP(C202,'Animals'!$A$5:$A$104,'Animals'!$H$5:$H$104,""),"")</x:f>
      </x:c>
      <x:c r="F202" s="71"/>
      <x:c r="G202" s="71"/>
      <x:c r="H202" s="71"/>
      <x:c r="I202" s="71"/>
      <x:c r="J202" s="71"/>
      <x:c r="K202" s="46"/>
      <x:c r="L202" s="46"/>
      <x:c r="M202" s="46"/>
      <x:c r="N202" s="46"/>
      <x:c r="O202" s="46"/>
      <x:c r="P202" s="46"/>
      <x:c r="Q202" s="47" t="str">
        <x:f>IF(C202="","",IF(OR(J202&gt;IFERROR(INDEX('Normal Parameters'!$G$5:$G$104,MATCH(1,('Normal Parameters'!$A$5:$A$104=D202)*('Normal Parameters'!$B$5:$B$104=E202)*('Normal Parameters'!$C$5:$C$104="Behavior Score"),0)),99),F202&lt;IFERROR(INDEX('Normal Parameters'!$E$5:$E$104,MATCH(1,('Normal Parameters'!$A$5:$A$104=D202)*('Normal Parameters'!$B$5:$B$104=E202)*('Normal Parameters'!$C$5:$C$104="Weight"),0)),0),F202&gt;IFERROR(INDEX('Normal Parameters'!$G$5:$G$104,MATCH(1,('Normal Parameters'!$A$5:$A$104=D202)*('Normal Parameters'!$B$5:$B$104=E202)*('Normal Parameters'!$C$5:$C$104="Weight"),0)),9999),I202&lt;IFERROR(INDEX('Normal Parameters'!$E$5:$E$104,MATCH(1,('Normal Parameters'!$A$5:$A$104=D202)*('Normal Parameters'!$B$5:$B$104=E202)*('Normal Parameters'!$C$5:$C$104="Temperature"),0)),0),I202&gt;IFERROR(INDEX('Normal Parameters'!$G$5:$G$104,MATCH(1,('Normal Parameters'!$A$5:$A$104=D202)*('Normal Parameters'!$B$5:$B$104=E202)*('Normal Parameters'!$C$5:$C$104="Temperature"),0)),9999)),"Check","Normal"))</x:f>
      </x:c>
    </x:row>
    <x:row r="203" ht="15" hidden="0" customHeight="1">
      <x:c r="A203" s="74"/>
      <x:c r="B203" s="46"/>
      <x:c r="C203" s="46"/>
      <x:c r="D203" s="46" t="str">
        <x:f>IFERROR(XLOOKUP(C203,'Animals'!$A$5:$A$104,'Animals'!$C$5:$C$104,""),"")</x:f>
      </x:c>
      <x:c r="E203" s="46" t="str">
        <x:f>IFERROR(XLOOKUP(C203,'Animals'!$A$5:$A$104,'Animals'!$H$5:$H$104,""),"")</x:f>
      </x:c>
      <x:c r="F203" s="71"/>
      <x:c r="G203" s="71"/>
      <x:c r="H203" s="71"/>
      <x:c r="I203" s="71"/>
      <x:c r="J203" s="71"/>
      <x:c r="K203" s="46"/>
      <x:c r="L203" s="46"/>
      <x:c r="M203" s="46"/>
      <x:c r="N203" s="46"/>
      <x:c r="O203" s="46"/>
      <x:c r="P203" s="46"/>
      <x:c r="Q203" s="47" t="str">
        <x:f>IF(C203="","",IF(OR(J203&gt;IFERROR(INDEX('Normal Parameters'!$G$5:$G$104,MATCH(1,('Normal Parameters'!$A$5:$A$104=D203)*('Normal Parameters'!$B$5:$B$104=E203)*('Normal Parameters'!$C$5:$C$104="Behavior Score"),0)),99),F203&lt;IFERROR(INDEX('Normal Parameters'!$E$5:$E$104,MATCH(1,('Normal Parameters'!$A$5:$A$104=D203)*('Normal Parameters'!$B$5:$B$104=E203)*('Normal Parameters'!$C$5:$C$104="Weight"),0)),0),F203&gt;IFERROR(INDEX('Normal Parameters'!$G$5:$G$104,MATCH(1,('Normal Parameters'!$A$5:$A$104=D203)*('Normal Parameters'!$B$5:$B$104=E203)*('Normal Parameters'!$C$5:$C$104="Weight"),0)),9999),I203&lt;IFERROR(INDEX('Normal Parameters'!$E$5:$E$104,MATCH(1,('Normal Parameters'!$A$5:$A$104=D203)*('Normal Parameters'!$B$5:$B$104=E203)*('Normal Parameters'!$C$5:$C$104="Temperature"),0)),0),I203&gt;IFERROR(INDEX('Normal Parameters'!$G$5:$G$104,MATCH(1,('Normal Parameters'!$A$5:$A$104=D203)*('Normal Parameters'!$B$5:$B$104=E203)*('Normal Parameters'!$C$5:$C$104="Temperature"),0)),9999)),"Check","Normal"))</x:f>
      </x:c>
    </x:row>
    <x:row r="204" ht="15" hidden="0" customHeight="1">
      <x:c r="A204" s="74"/>
      <x:c r="B204" s="46"/>
      <x:c r="C204" s="46"/>
      <x:c r="D204" s="46" t="str">
        <x:f>IFERROR(XLOOKUP(C204,'Animals'!$A$5:$A$104,'Animals'!$C$5:$C$104,""),"")</x:f>
      </x:c>
      <x:c r="E204" s="46" t="str">
        <x:f>IFERROR(XLOOKUP(C204,'Animals'!$A$5:$A$104,'Animals'!$H$5:$H$104,""),"")</x:f>
      </x:c>
      <x:c r="F204" s="71"/>
      <x:c r="G204" s="71"/>
      <x:c r="H204" s="71"/>
      <x:c r="I204" s="71"/>
      <x:c r="J204" s="71"/>
      <x:c r="K204" s="46"/>
      <x:c r="L204" s="46"/>
      <x:c r="M204" s="46"/>
      <x:c r="N204" s="46"/>
      <x:c r="O204" s="46"/>
      <x:c r="P204" s="46"/>
      <x:c r="Q204" s="47" t="str">
        <x:f>IF(C204="","",IF(OR(J204&gt;IFERROR(INDEX('Normal Parameters'!$G$5:$G$104,MATCH(1,('Normal Parameters'!$A$5:$A$104=D204)*('Normal Parameters'!$B$5:$B$104=E204)*('Normal Parameters'!$C$5:$C$104="Behavior Score"),0)),99),F204&lt;IFERROR(INDEX('Normal Parameters'!$E$5:$E$104,MATCH(1,('Normal Parameters'!$A$5:$A$104=D204)*('Normal Parameters'!$B$5:$B$104=E204)*('Normal Parameters'!$C$5:$C$104="Weight"),0)),0),F204&gt;IFERROR(INDEX('Normal Parameters'!$G$5:$G$104,MATCH(1,('Normal Parameters'!$A$5:$A$104=D204)*('Normal Parameters'!$B$5:$B$104=E204)*('Normal Parameters'!$C$5:$C$104="Weight"),0)),9999),I204&lt;IFERROR(INDEX('Normal Parameters'!$E$5:$E$104,MATCH(1,('Normal Parameters'!$A$5:$A$104=D204)*('Normal Parameters'!$B$5:$B$104=E204)*('Normal Parameters'!$C$5:$C$104="Temperature"),0)),0),I204&gt;IFERROR(INDEX('Normal Parameters'!$G$5:$G$104,MATCH(1,('Normal Parameters'!$A$5:$A$104=D204)*('Normal Parameters'!$B$5:$B$104=E204)*('Normal Parameters'!$C$5:$C$104="Temperature"),0)),9999)),"Check","Normal"))</x:f>
      </x:c>
    </x:row>
    <x:row r="205" ht="15" hidden="0" customHeight="1">
      <x:c r="A205" s="74"/>
      <x:c r="B205" s="46"/>
      <x:c r="C205" s="46"/>
      <x:c r="D205" s="46" t="str">
        <x:f>IFERROR(XLOOKUP(C205,'Animals'!$A$5:$A$104,'Animals'!$C$5:$C$104,""),"")</x:f>
      </x:c>
      <x:c r="E205" s="46" t="str">
        <x:f>IFERROR(XLOOKUP(C205,'Animals'!$A$5:$A$104,'Animals'!$H$5:$H$104,""),"")</x:f>
      </x:c>
      <x:c r="F205" s="71"/>
      <x:c r="G205" s="71"/>
      <x:c r="H205" s="71"/>
      <x:c r="I205" s="71"/>
      <x:c r="J205" s="71"/>
      <x:c r="K205" s="46"/>
      <x:c r="L205" s="46"/>
      <x:c r="M205" s="46"/>
      <x:c r="N205" s="46"/>
      <x:c r="O205" s="46"/>
      <x:c r="P205" s="46"/>
      <x:c r="Q205" s="47" t="str">
        <x:f>IF(C205="","",IF(OR(J205&gt;IFERROR(INDEX('Normal Parameters'!$G$5:$G$104,MATCH(1,('Normal Parameters'!$A$5:$A$104=D205)*('Normal Parameters'!$B$5:$B$104=E205)*('Normal Parameters'!$C$5:$C$104="Behavior Score"),0)),99),F205&lt;IFERROR(INDEX('Normal Parameters'!$E$5:$E$104,MATCH(1,('Normal Parameters'!$A$5:$A$104=D205)*('Normal Parameters'!$B$5:$B$104=E205)*('Normal Parameters'!$C$5:$C$104="Weight"),0)),0),F205&gt;IFERROR(INDEX('Normal Parameters'!$G$5:$G$104,MATCH(1,('Normal Parameters'!$A$5:$A$104=D205)*('Normal Parameters'!$B$5:$B$104=E205)*('Normal Parameters'!$C$5:$C$104="Weight"),0)),9999),I205&lt;IFERROR(INDEX('Normal Parameters'!$E$5:$E$104,MATCH(1,('Normal Parameters'!$A$5:$A$104=D205)*('Normal Parameters'!$B$5:$B$104=E205)*('Normal Parameters'!$C$5:$C$104="Temperature"),0)),0),I205&gt;IFERROR(INDEX('Normal Parameters'!$G$5:$G$104,MATCH(1,('Normal Parameters'!$A$5:$A$104=D205)*('Normal Parameters'!$B$5:$B$104=E205)*('Normal Parameters'!$C$5:$C$104="Temperature"),0)),9999)),"Check","Normal"))</x:f>
      </x:c>
    </x:row>
    <x:row r="206" ht="15" hidden="0" customHeight="1">
      <x:c r="A206" s="74"/>
      <x:c r="B206" s="46"/>
      <x:c r="C206" s="46"/>
      <x:c r="D206" s="46" t="str">
        <x:f>IFERROR(XLOOKUP(C206,'Animals'!$A$5:$A$104,'Animals'!$C$5:$C$104,""),"")</x:f>
      </x:c>
      <x:c r="E206" s="46" t="str">
        <x:f>IFERROR(XLOOKUP(C206,'Animals'!$A$5:$A$104,'Animals'!$H$5:$H$104,""),"")</x:f>
      </x:c>
      <x:c r="F206" s="71"/>
      <x:c r="G206" s="71"/>
      <x:c r="H206" s="71"/>
      <x:c r="I206" s="71"/>
      <x:c r="J206" s="71"/>
      <x:c r="K206" s="46"/>
      <x:c r="L206" s="46"/>
      <x:c r="M206" s="46"/>
      <x:c r="N206" s="46"/>
      <x:c r="O206" s="46"/>
      <x:c r="P206" s="46"/>
      <x:c r="Q206" s="47" t="str">
        <x:f>IF(C206="","",IF(OR(J206&gt;IFERROR(INDEX('Normal Parameters'!$G$5:$G$104,MATCH(1,('Normal Parameters'!$A$5:$A$104=D206)*('Normal Parameters'!$B$5:$B$104=E206)*('Normal Parameters'!$C$5:$C$104="Behavior Score"),0)),99),F206&lt;IFERROR(INDEX('Normal Parameters'!$E$5:$E$104,MATCH(1,('Normal Parameters'!$A$5:$A$104=D206)*('Normal Parameters'!$B$5:$B$104=E206)*('Normal Parameters'!$C$5:$C$104="Weight"),0)),0),F206&gt;IFERROR(INDEX('Normal Parameters'!$G$5:$G$104,MATCH(1,('Normal Parameters'!$A$5:$A$104=D206)*('Normal Parameters'!$B$5:$B$104=E206)*('Normal Parameters'!$C$5:$C$104="Weight"),0)),9999),I206&lt;IFERROR(INDEX('Normal Parameters'!$E$5:$E$104,MATCH(1,('Normal Parameters'!$A$5:$A$104=D206)*('Normal Parameters'!$B$5:$B$104=E206)*('Normal Parameters'!$C$5:$C$104="Temperature"),0)),0),I206&gt;IFERROR(INDEX('Normal Parameters'!$G$5:$G$104,MATCH(1,('Normal Parameters'!$A$5:$A$104=D206)*('Normal Parameters'!$B$5:$B$104=E206)*('Normal Parameters'!$C$5:$C$104="Temperature"),0)),9999)),"Check","Normal"))</x:f>
      </x:c>
    </x:row>
    <x:row r="207" ht="15" hidden="0" customHeight="1">
      <x:c r="A207" s="74"/>
      <x:c r="B207" s="46"/>
      <x:c r="C207" s="46"/>
      <x:c r="D207" s="46" t="str">
        <x:f>IFERROR(XLOOKUP(C207,'Animals'!$A$5:$A$104,'Animals'!$C$5:$C$104,""),"")</x:f>
      </x:c>
      <x:c r="E207" s="46" t="str">
        <x:f>IFERROR(XLOOKUP(C207,'Animals'!$A$5:$A$104,'Animals'!$H$5:$H$104,""),"")</x:f>
      </x:c>
      <x:c r="F207" s="71"/>
      <x:c r="G207" s="71"/>
      <x:c r="H207" s="71"/>
      <x:c r="I207" s="71"/>
      <x:c r="J207" s="71"/>
      <x:c r="K207" s="46"/>
      <x:c r="L207" s="46"/>
      <x:c r="M207" s="46"/>
      <x:c r="N207" s="46"/>
      <x:c r="O207" s="46"/>
      <x:c r="P207" s="46"/>
      <x:c r="Q207" s="47" t="str">
        <x:f>IF(C207="","",IF(OR(J207&gt;IFERROR(INDEX('Normal Parameters'!$G$5:$G$104,MATCH(1,('Normal Parameters'!$A$5:$A$104=D207)*('Normal Parameters'!$B$5:$B$104=E207)*('Normal Parameters'!$C$5:$C$104="Behavior Score"),0)),99),F207&lt;IFERROR(INDEX('Normal Parameters'!$E$5:$E$104,MATCH(1,('Normal Parameters'!$A$5:$A$104=D207)*('Normal Parameters'!$B$5:$B$104=E207)*('Normal Parameters'!$C$5:$C$104="Weight"),0)),0),F207&gt;IFERROR(INDEX('Normal Parameters'!$G$5:$G$104,MATCH(1,('Normal Parameters'!$A$5:$A$104=D207)*('Normal Parameters'!$B$5:$B$104=E207)*('Normal Parameters'!$C$5:$C$104="Weight"),0)),9999),I207&lt;IFERROR(INDEX('Normal Parameters'!$E$5:$E$104,MATCH(1,('Normal Parameters'!$A$5:$A$104=D207)*('Normal Parameters'!$B$5:$B$104=E207)*('Normal Parameters'!$C$5:$C$104="Temperature"),0)),0),I207&gt;IFERROR(INDEX('Normal Parameters'!$G$5:$G$104,MATCH(1,('Normal Parameters'!$A$5:$A$104=D207)*('Normal Parameters'!$B$5:$B$104=E207)*('Normal Parameters'!$C$5:$C$104="Temperature"),0)),9999)),"Check","Normal"))</x:f>
      </x:c>
    </x:row>
    <x:row r="208" ht="15" hidden="0" customHeight="1">
      <x:c r="A208" s="74"/>
      <x:c r="B208" s="46"/>
      <x:c r="C208" s="46"/>
      <x:c r="D208" s="46" t="str">
        <x:f>IFERROR(XLOOKUP(C208,'Animals'!$A$5:$A$104,'Animals'!$C$5:$C$104,""),"")</x:f>
      </x:c>
      <x:c r="E208" s="46" t="str">
        <x:f>IFERROR(XLOOKUP(C208,'Animals'!$A$5:$A$104,'Animals'!$H$5:$H$104,""),"")</x:f>
      </x:c>
      <x:c r="F208" s="71"/>
      <x:c r="G208" s="71"/>
      <x:c r="H208" s="71"/>
      <x:c r="I208" s="71"/>
      <x:c r="J208" s="71"/>
      <x:c r="K208" s="46"/>
      <x:c r="L208" s="46"/>
      <x:c r="M208" s="46"/>
      <x:c r="N208" s="46"/>
      <x:c r="O208" s="46"/>
      <x:c r="P208" s="46"/>
      <x:c r="Q208" s="47" t="str">
        <x:f>IF(C208="","",IF(OR(J208&gt;IFERROR(INDEX('Normal Parameters'!$G$5:$G$104,MATCH(1,('Normal Parameters'!$A$5:$A$104=D208)*('Normal Parameters'!$B$5:$B$104=E208)*('Normal Parameters'!$C$5:$C$104="Behavior Score"),0)),99),F208&lt;IFERROR(INDEX('Normal Parameters'!$E$5:$E$104,MATCH(1,('Normal Parameters'!$A$5:$A$104=D208)*('Normal Parameters'!$B$5:$B$104=E208)*('Normal Parameters'!$C$5:$C$104="Weight"),0)),0),F208&gt;IFERROR(INDEX('Normal Parameters'!$G$5:$G$104,MATCH(1,('Normal Parameters'!$A$5:$A$104=D208)*('Normal Parameters'!$B$5:$B$104=E208)*('Normal Parameters'!$C$5:$C$104="Weight"),0)),9999),I208&lt;IFERROR(INDEX('Normal Parameters'!$E$5:$E$104,MATCH(1,('Normal Parameters'!$A$5:$A$104=D208)*('Normal Parameters'!$B$5:$B$104=E208)*('Normal Parameters'!$C$5:$C$104="Temperature"),0)),0),I208&gt;IFERROR(INDEX('Normal Parameters'!$G$5:$G$104,MATCH(1,('Normal Parameters'!$A$5:$A$104=D208)*('Normal Parameters'!$B$5:$B$104=E208)*('Normal Parameters'!$C$5:$C$104="Temperature"),0)),9999)),"Check","Normal"))</x:f>
      </x:c>
    </x:row>
    <x:row r="209" ht="15" hidden="0" customHeight="1">
      <x:c r="A209" s="74"/>
      <x:c r="B209" s="46"/>
      <x:c r="C209" s="46"/>
      <x:c r="D209" s="46" t="str">
        <x:f>IFERROR(XLOOKUP(C209,'Animals'!$A$5:$A$104,'Animals'!$C$5:$C$104,""),"")</x:f>
      </x:c>
      <x:c r="E209" s="46" t="str">
        <x:f>IFERROR(XLOOKUP(C209,'Animals'!$A$5:$A$104,'Animals'!$H$5:$H$104,""),"")</x:f>
      </x:c>
      <x:c r="F209" s="71"/>
      <x:c r="G209" s="71"/>
      <x:c r="H209" s="71"/>
      <x:c r="I209" s="71"/>
      <x:c r="J209" s="71"/>
      <x:c r="K209" s="46"/>
      <x:c r="L209" s="46"/>
      <x:c r="M209" s="46"/>
      <x:c r="N209" s="46"/>
      <x:c r="O209" s="46"/>
      <x:c r="P209" s="46"/>
      <x:c r="Q209" s="47" t="str">
        <x:f>IF(C209="","",IF(OR(J209&gt;IFERROR(INDEX('Normal Parameters'!$G$5:$G$104,MATCH(1,('Normal Parameters'!$A$5:$A$104=D209)*('Normal Parameters'!$B$5:$B$104=E209)*('Normal Parameters'!$C$5:$C$104="Behavior Score"),0)),99),F209&lt;IFERROR(INDEX('Normal Parameters'!$E$5:$E$104,MATCH(1,('Normal Parameters'!$A$5:$A$104=D209)*('Normal Parameters'!$B$5:$B$104=E209)*('Normal Parameters'!$C$5:$C$104="Weight"),0)),0),F209&gt;IFERROR(INDEX('Normal Parameters'!$G$5:$G$104,MATCH(1,('Normal Parameters'!$A$5:$A$104=D209)*('Normal Parameters'!$B$5:$B$104=E209)*('Normal Parameters'!$C$5:$C$104="Weight"),0)),9999),I209&lt;IFERROR(INDEX('Normal Parameters'!$E$5:$E$104,MATCH(1,('Normal Parameters'!$A$5:$A$104=D209)*('Normal Parameters'!$B$5:$B$104=E209)*('Normal Parameters'!$C$5:$C$104="Temperature"),0)),0),I209&gt;IFERROR(INDEX('Normal Parameters'!$G$5:$G$104,MATCH(1,('Normal Parameters'!$A$5:$A$104=D209)*('Normal Parameters'!$B$5:$B$104=E209)*('Normal Parameters'!$C$5:$C$104="Temperature"),0)),9999)),"Check","Normal"))</x:f>
      </x:c>
    </x:row>
    <x:row r="210" ht="15" hidden="0" customHeight="1">
      <x:c r="A210" s="74"/>
      <x:c r="B210" s="46"/>
      <x:c r="C210" s="46"/>
      <x:c r="D210" s="46" t="str">
        <x:f>IFERROR(XLOOKUP(C210,'Animals'!$A$5:$A$104,'Animals'!$C$5:$C$104,""),"")</x:f>
      </x:c>
      <x:c r="E210" s="46" t="str">
        <x:f>IFERROR(XLOOKUP(C210,'Animals'!$A$5:$A$104,'Animals'!$H$5:$H$104,""),"")</x:f>
      </x:c>
      <x:c r="F210" s="71"/>
      <x:c r="G210" s="71"/>
      <x:c r="H210" s="71"/>
      <x:c r="I210" s="71"/>
      <x:c r="J210" s="71"/>
      <x:c r="K210" s="46"/>
      <x:c r="L210" s="46"/>
      <x:c r="M210" s="46"/>
      <x:c r="N210" s="46"/>
      <x:c r="O210" s="46"/>
      <x:c r="P210" s="46"/>
      <x:c r="Q210" s="47" t="str">
        <x:f>IF(C210="","",IF(OR(J210&gt;IFERROR(INDEX('Normal Parameters'!$G$5:$G$104,MATCH(1,('Normal Parameters'!$A$5:$A$104=D210)*('Normal Parameters'!$B$5:$B$104=E210)*('Normal Parameters'!$C$5:$C$104="Behavior Score"),0)),99),F210&lt;IFERROR(INDEX('Normal Parameters'!$E$5:$E$104,MATCH(1,('Normal Parameters'!$A$5:$A$104=D210)*('Normal Parameters'!$B$5:$B$104=E210)*('Normal Parameters'!$C$5:$C$104="Weight"),0)),0),F210&gt;IFERROR(INDEX('Normal Parameters'!$G$5:$G$104,MATCH(1,('Normal Parameters'!$A$5:$A$104=D210)*('Normal Parameters'!$B$5:$B$104=E210)*('Normal Parameters'!$C$5:$C$104="Weight"),0)),9999),I210&lt;IFERROR(INDEX('Normal Parameters'!$E$5:$E$104,MATCH(1,('Normal Parameters'!$A$5:$A$104=D210)*('Normal Parameters'!$B$5:$B$104=E210)*('Normal Parameters'!$C$5:$C$104="Temperature"),0)),0),I210&gt;IFERROR(INDEX('Normal Parameters'!$G$5:$G$104,MATCH(1,('Normal Parameters'!$A$5:$A$104=D210)*('Normal Parameters'!$B$5:$B$104=E210)*('Normal Parameters'!$C$5:$C$104="Temperature"),0)),9999)),"Check","Normal"))</x:f>
      </x:c>
    </x:row>
    <x:row r="211" ht="15" hidden="0" customHeight="1">
      <x:c r="A211" s="74"/>
      <x:c r="B211" s="46"/>
      <x:c r="C211" s="46"/>
      <x:c r="D211" s="46" t="str">
        <x:f>IFERROR(XLOOKUP(C211,'Animals'!$A$5:$A$104,'Animals'!$C$5:$C$104,""),"")</x:f>
      </x:c>
      <x:c r="E211" s="46" t="str">
        <x:f>IFERROR(XLOOKUP(C211,'Animals'!$A$5:$A$104,'Animals'!$H$5:$H$104,""),"")</x:f>
      </x:c>
      <x:c r="F211" s="71"/>
      <x:c r="G211" s="71"/>
      <x:c r="H211" s="71"/>
      <x:c r="I211" s="71"/>
      <x:c r="J211" s="71"/>
      <x:c r="K211" s="46"/>
      <x:c r="L211" s="46"/>
      <x:c r="M211" s="46"/>
      <x:c r="N211" s="46"/>
      <x:c r="O211" s="46"/>
      <x:c r="P211" s="46"/>
      <x:c r="Q211" s="47" t="str">
        <x:f>IF(C211="","",IF(OR(J211&gt;IFERROR(INDEX('Normal Parameters'!$G$5:$G$104,MATCH(1,('Normal Parameters'!$A$5:$A$104=D211)*('Normal Parameters'!$B$5:$B$104=E211)*('Normal Parameters'!$C$5:$C$104="Behavior Score"),0)),99),F211&lt;IFERROR(INDEX('Normal Parameters'!$E$5:$E$104,MATCH(1,('Normal Parameters'!$A$5:$A$104=D211)*('Normal Parameters'!$B$5:$B$104=E211)*('Normal Parameters'!$C$5:$C$104="Weight"),0)),0),F211&gt;IFERROR(INDEX('Normal Parameters'!$G$5:$G$104,MATCH(1,('Normal Parameters'!$A$5:$A$104=D211)*('Normal Parameters'!$B$5:$B$104=E211)*('Normal Parameters'!$C$5:$C$104="Weight"),0)),9999),I211&lt;IFERROR(INDEX('Normal Parameters'!$E$5:$E$104,MATCH(1,('Normal Parameters'!$A$5:$A$104=D211)*('Normal Parameters'!$B$5:$B$104=E211)*('Normal Parameters'!$C$5:$C$104="Temperature"),0)),0),I211&gt;IFERROR(INDEX('Normal Parameters'!$G$5:$G$104,MATCH(1,('Normal Parameters'!$A$5:$A$104=D211)*('Normal Parameters'!$B$5:$B$104=E211)*('Normal Parameters'!$C$5:$C$104="Temperature"),0)),9999)),"Check","Normal"))</x:f>
      </x:c>
    </x:row>
    <x:row r="212" ht="15" hidden="0" customHeight="1">
      <x:c r="A212" s="74"/>
      <x:c r="B212" s="46"/>
      <x:c r="C212" s="46"/>
      <x:c r="D212" s="46" t="str">
        <x:f>IFERROR(XLOOKUP(C212,'Animals'!$A$5:$A$104,'Animals'!$C$5:$C$104,""),"")</x:f>
      </x:c>
      <x:c r="E212" s="46" t="str">
        <x:f>IFERROR(XLOOKUP(C212,'Animals'!$A$5:$A$104,'Animals'!$H$5:$H$104,""),"")</x:f>
      </x:c>
      <x:c r="F212" s="71"/>
      <x:c r="G212" s="71"/>
      <x:c r="H212" s="71"/>
      <x:c r="I212" s="71"/>
      <x:c r="J212" s="71"/>
      <x:c r="K212" s="46"/>
      <x:c r="L212" s="46"/>
      <x:c r="M212" s="46"/>
      <x:c r="N212" s="46"/>
      <x:c r="O212" s="46"/>
      <x:c r="P212" s="46"/>
      <x:c r="Q212" s="47" t="str">
        <x:f>IF(C212="","",IF(OR(J212&gt;IFERROR(INDEX('Normal Parameters'!$G$5:$G$104,MATCH(1,('Normal Parameters'!$A$5:$A$104=D212)*('Normal Parameters'!$B$5:$B$104=E212)*('Normal Parameters'!$C$5:$C$104="Behavior Score"),0)),99),F212&lt;IFERROR(INDEX('Normal Parameters'!$E$5:$E$104,MATCH(1,('Normal Parameters'!$A$5:$A$104=D212)*('Normal Parameters'!$B$5:$B$104=E212)*('Normal Parameters'!$C$5:$C$104="Weight"),0)),0),F212&gt;IFERROR(INDEX('Normal Parameters'!$G$5:$G$104,MATCH(1,('Normal Parameters'!$A$5:$A$104=D212)*('Normal Parameters'!$B$5:$B$104=E212)*('Normal Parameters'!$C$5:$C$104="Weight"),0)),9999),I212&lt;IFERROR(INDEX('Normal Parameters'!$E$5:$E$104,MATCH(1,('Normal Parameters'!$A$5:$A$104=D212)*('Normal Parameters'!$B$5:$B$104=E212)*('Normal Parameters'!$C$5:$C$104="Temperature"),0)),0),I212&gt;IFERROR(INDEX('Normal Parameters'!$G$5:$G$104,MATCH(1,('Normal Parameters'!$A$5:$A$104=D212)*('Normal Parameters'!$B$5:$B$104=E212)*('Normal Parameters'!$C$5:$C$104="Temperature"),0)),9999)),"Check","Normal"))</x:f>
      </x:c>
    </x:row>
    <x:row r="213" ht="15" hidden="0" customHeight="1">
      <x:c r="A213" s="74"/>
      <x:c r="B213" s="46"/>
      <x:c r="C213" s="46"/>
      <x:c r="D213" s="46" t="str">
        <x:f>IFERROR(XLOOKUP(C213,'Animals'!$A$5:$A$104,'Animals'!$C$5:$C$104,""),"")</x:f>
      </x:c>
      <x:c r="E213" s="46" t="str">
        <x:f>IFERROR(XLOOKUP(C213,'Animals'!$A$5:$A$104,'Animals'!$H$5:$H$104,""),"")</x:f>
      </x:c>
      <x:c r="F213" s="71"/>
      <x:c r="G213" s="71"/>
      <x:c r="H213" s="71"/>
      <x:c r="I213" s="71"/>
      <x:c r="J213" s="71"/>
      <x:c r="K213" s="46"/>
      <x:c r="L213" s="46"/>
      <x:c r="M213" s="46"/>
      <x:c r="N213" s="46"/>
      <x:c r="O213" s="46"/>
      <x:c r="P213" s="46"/>
      <x:c r="Q213" s="47" t="str">
        <x:f>IF(C213="","",IF(OR(J213&gt;IFERROR(INDEX('Normal Parameters'!$G$5:$G$104,MATCH(1,('Normal Parameters'!$A$5:$A$104=D213)*('Normal Parameters'!$B$5:$B$104=E213)*('Normal Parameters'!$C$5:$C$104="Behavior Score"),0)),99),F213&lt;IFERROR(INDEX('Normal Parameters'!$E$5:$E$104,MATCH(1,('Normal Parameters'!$A$5:$A$104=D213)*('Normal Parameters'!$B$5:$B$104=E213)*('Normal Parameters'!$C$5:$C$104="Weight"),0)),0),F213&gt;IFERROR(INDEX('Normal Parameters'!$G$5:$G$104,MATCH(1,('Normal Parameters'!$A$5:$A$104=D213)*('Normal Parameters'!$B$5:$B$104=E213)*('Normal Parameters'!$C$5:$C$104="Weight"),0)),9999),I213&lt;IFERROR(INDEX('Normal Parameters'!$E$5:$E$104,MATCH(1,('Normal Parameters'!$A$5:$A$104=D213)*('Normal Parameters'!$B$5:$B$104=E213)*('Normal Parameters'!$C$5:$C$104="Temperature"),0)),0),I213&gt;IFERROR(INDEX('Normal Parameters'!$G$5:$G$104,MATCH(1,('Normal Parameters'!$A$5:$A$104=D213)*('Normal Parameters'!$B$5:$B$104=E213)*('Normal Parameters'!$C$5:$C$104="Temperature"),0)),9999)),"Check","Normal"))</x:f>
      </x:c>
    </x:row>
    <x:row r="214" ht="15" hidden="0" customHeight="1">
      <x:c r="A214" s="74"/>
      <x:c r="B214" s="46"/>
      <x:c r="C214" s="46"/>
      <x:c r="D214" s="46" t="str">
        <x:f>IFERROR(XLOOKUP(C214,'Animals'!$A$5:$A$104,'Animals'!$C$5:$C$104,""),"")</x:f>
      </x:c>
      <x:c r="E214" s="46" t="str">
        <x:f>IFERROR(XLOOKUP(C214,'Animals'!$A$5:$A$104,'Animals'!$H$5:$H$104,""),"")</x:f>
      </x:c>
      <x:c r="F214" s="71"/>
      <x:c r="G214" s="71"/>
      <x:c r="H214" s="71"/>
      <x:c r="I214" s="71"/>
      <x:c r="J214" s="71"/>
      <x:c r="K214" s="46"/>
      <x:c r="L214" s="46"/>
      <x:c r="M214" s="46"/>
      <x:c r="N214" s="46"/>
      <x:c r="O214" s="46"/>
      <x:c r="P214" s="46"/>
      <x:c r="Q214" s="47" t="str">
        <x:f>IF(C214="","",IF(OR(J214&gt;IFERROR(INDEX('Normal Parameters'!$G$5:$G$104,MATCH(1,('Normal Parameters'!$A$5:$A$104=D214)*('Normal Parameters'!$B$5:$B$104=E214)*('Normal Parameters'!$C$5:$C$104="Behavior Score"),0)),99),F214&lt;IFERROR(INDEX('Normal Parameters'!$E$5:$E$104,MATCH(1,('Normal Parameters'!$A$5:$A$104=D214)*('Normal Parameters'!$B$5:$B$104=E214)*('Normal Parameters'!$C$5:$C$104="Weight"),0)),0),F214&gt;IFERROR(INDEX('Normal Parameters'!$G$5:$G$104,MATCH(1,('Normal Parameters'!$A$5:$A$104=D214)*('Normal Parameters'!$B$5:$B$104=E214)*('Normal Parameters'!$C$5:$C$104="Weight"),0)),9999),I214&lt;IFERROR(INDEX('Normal Parameters'!$E$5:$E$104,MATCH(1,('Normal Parameters'!$A$5:$A$104=D214)*('Normal Parameters'!$B$5:$B$104=E214)*('Normal Parameters'!$C$5:$C$104="Temperature"),0)),0),I214&gt;IFERROR(INDEX('Normal Parameters'!$G$5:$G$104,MATCH(1,('Normal Parameters'!$A$5:$A$104=D214)*('Normal Parameters'!$B$5:$B$104=E214)*('Normal Parameters'!$C$5:$C$104="Temperature"),0)),9999)),"Check","Normal"))</x:f>
      </x:c>
    </x:row>
    <x:row r="215" ht="15" hidden="0" customHeight="1">
      <x:c r="A215" s="74"/>
      <x:c r="B215" s="46"/>
      <x:c r="C215" s="46"/>
      <x:c r="D215" s="46" t="str">
        <x:f>IFERROR(XLOOKUP(C215,'Animals'!$A$5:$A$104,'Animals'!$C$5:$C$104,""),"")</x:f>
      </x:c>
      <x:c r="E215" s="46" t="str">
        <x:f>IFERROR(XLOOKUP(C215,'Animals'!$A$5:$A$104,'Animals'!$H$5:$H$104,""),"")</x:f>
      </x:c>
      <x:c r="F215" s="71"/>
      <x:c r="G215" s="71"/>
      <x:c r="H215" s="71"/>
      <x:c r="I215" s="71"/>
      <x:c r="J215" s="71"/>
      <x:c r="K215" s="46"/>
      <x:c r="L215" s="46"/>
      <x:c r="M215" s="46"/>
      <x:c r="N215" s="46"/>
      <x:c r="O215" s="46"/>
      <x:c r="P215" s="46"/>
      <x:c r="Q215" s="47" t="str">
        <x:f>IF(C215="","",IF(OR(J215&gt;IFERROR(INDEX('Normal Parameters'!$G$5:$G$104,MATCH(1,('Normal Parameters'!$A$5:$A$104=D215)*('Normal Parameters'!$B$5:$B$104=E215)*('Normal Parameters'!$C$5:$C$104="Behavior Score"),0)),99),F215&lt;IFERROR(INDEX('Normal Parameters'!$E$5:$E$104,MATCH(1,('Normal Parameters'!$A$5:$A$104=D215)*('Normal Parameters'!$B$5:$B$104=E215)*('Normal Parameters'!$C$5:$C$104="Weight"),0)),0),F215&gt;IFERROR(INDEX('Normal Parameters'!$G$5:$G$104,MATCH(1,('Normal Parameters'!$A$5:$A$104=D215)*('Normal Parameters'!$B$5:$B$104=E215)*('Normal Parameters'!$C$5:$C$104="Weight"),0)),9999),I215&lt;IFERROR(INDEX('Normal Parameters'!$E$5:$E$104,MATCH(1,('Normal Parameters'!$A$5:$A$104=D215)*('Normal Parameters'!$B$5:$B$104=E215)*('Normal Parameters'!$C$5:$C$104="Temperature"),0)),0),I215&gt;IFERROR(INDEX('Normal Parameters'!$G$5:$G$104,MATCH(1,('Normal Parameters'!$A$5:$A$104=D215)*('Normal Parameters'!$B$5:$B$104=E215)*('Normal Parameters'!$C$5:$C$104="Temperature"),0)),9999)),"Check","Normal"))</x:f>
      </x:c>
    </x:row>
    <x:row r="216" ht="15" hidden="0" customHeight="1">
      <x:c r="A216" s="74"/>
      <x:c r="B216" s="46"/>
      <x:c r="C216" s="46"/>
      <x:c r="D216" s="46" t="str">
        <x:f>IFERROR(XLOOKUP(C216,'Animals'!$A$5:$A$104,'Animals'!$C$5:$C$104,""),"")</x:f>
      </x:c>
      <x:c r="E216" s="46" t="str">
        <x:f>IFERROR(XLOOKUP(C216,'Animals'!$A$5:$A$104,'Animals'!$H$5:$H$104,""),"")</x:f>
      </x:c>
      <x:c r="F216" s="71"/>
      <x:c r="G216" s="71"/>
      <x:c r="H216" s="71"/>
      <x:c r="I216" s="71"/>
      <x:c r="J216" s="71"/>
      <x:c r="K216" s="46"/>
      <x:c r="L216" s="46"/>
      <x:c r="M216" s="46"/>
      <x:c r="N216" s="46"/>
      <x:c r="O216" s="46"/>
      <x:c r="P216" s="46"/>
      <x:c r="Q216" s="47" t="str">
        <x:f>IF(C216="","",IF(OR(J216&gt;IFERROR(INDEX('Normal Parameters'!$G$5:$G$104,MATCH(1,('Normal Parameters'!$A$5:$A$104=D216)*('Normal Parameters'!$B$5:$B$104=E216)*('Normal Parameters'!$C$5:$C$104="Behavior Score"),0)),99),F216&lt;IFERROR(INDEX('Normal Parameters'!$E$5:$E$104,MATCH(1,('Normal Parameters'!$A$5:$A$104=D216)*('Normal Parameters'!$B$5:$B$104=E216)*('Normal Parameters'!$C$5:$C$104="Weight"),0)),0),F216&gt;IFERROR(INDEX('Normal Parameters'!$G$5:$G$104,MATCH(1,('Normal Parameters'!$A$5:$A$104=D216)*('Normal Parameters'!$B$5:$B$104=E216)*('Normal Parameters'!$C$5:$C$104="Weight"),0)),9999),I216&lt;IFERROR(INDEX('Normal Parameters'!$E$5:$E$104,MATCH(1,('Normal Parameters'!$A$5:$A$104=D216)*('Normal Parameters'!$B$5:$B$104=E216)*('Normal Parameters'!$C$5:$C$104="Temperature"),0)),0),I216&gt;IFERROR(INDEX('Normal Parameters'!$G$5:$G$104,MATCH(1,('Normal Parameters'!$A$5:$A$104=D216)*('Normal Parameters'!$B$5:$B$104=E216)*('Normal Parameters'!$C$5:$C$104="Temperature"),0)),9999)),"Check","Normal"))</x:f>
      </x:c>
    </x:row>
    <x:row r="217" ht="15" hidden="0" customHeight="1">
      <x:c r="A217" s="74"/>
      <x:c r="B217" s="46"/>
      <x:c r="C217" s="46"/>
      <x:c r="D217" s="46" t="str">
        <x:f>IFERROR(XLOOKUP(C217,'Animals'!$A$5:$A$104,'Animals'!$C$5:$C$104,""),"")</x:f>
      </x:c>
      <x:c r="E217" s="46" t="str">
        <x:f>IFERROR(XLOOKUP(C217,'Animals'!$A$5:$A$104,'Animals'!$H$5:$H$104,""),"")</x:f>
      </x:c>
      <x:c r="F217" s="71"/>
      <x:c r="G217" s="71"/>
      <x:c r="H217" s="71"/>
      <x:c r="I217" s="71"/>
      <x:c r="J217" s="71"/>
      <x:c r="K217" s="46"/>
      <x:c r="L217" s="46"/>
      <x:c r="M217" s="46"/>
      <x:c r="N217" s="46"/>
      <x:c r="O217" s="46"/>
      <x:c r="P217" s="46"/>
      <x:c r="Q217" s="47" t="str">
        <x:f>IF(C217="","",IF(OR(J217&gt;IFERROR(INDEX('Normal Parameters'!$G$5:$G$104,MATCH(1,('Normal Parameters'!$A$5:$A$104=D217)*('Normal Parameters'!$B$5:$B$104=E217)*('Normal Parameters'!$C$5:$C$104="Behavior Score"),0)),99),F217&lt;IFERROR(INDEX('Normal Parameters'!$E$5:$E$104,MATCH(1,('Normal Parameters'!$A$5:$A$104=D217)*('Normal Parameters'!$B$5:$B$104=E217)*('Normal Parameters'!$C$5:$C$104="Weight"),0)),0),F217&gt;IFERROR(INDEX('Normal Parameters'!$G$5:$G$104,MATCH(1,('Normal Parameters'!$A$5:$A$104=D217)*('Normal Parameters'!$B$5:$B$104=E217)*('Normal Parameters'!$C$5:$C$104="Weight"),0)),9999),I217&lt;IFERROR(INDEX('Normal Parameters'!$E$5:$E$104,MATCH(1,('Normal Parameters'!$A$5:$A$104=D217)*('Normal Parameters'!$B$5:$B$104=E217)*('Normal Parameters'!$C$5:$C$104="Temperature"),0)),0),I217&gt;IFERROR(INDEX('Normal Parameters'!$G$5:$G$104,MATCH(1,('Normal Parameters'!$A$5:$A$104=D217)*('Normal Parameters'!$B$5:$B$104=E217)*('Normal Parameters'!$C$5:$C$104="Temperature"),0)),9999)),"Check","Normal"))</x:f>
      </x:c>
    </x:row>
    <x:row r="218" ht="15" hidden="0" customHeight="1">
      <x:c r="A218" s="74"/>
      <x:c r="B218" s="46"/>
      <x:c r="C218" s="46"/>
      <x:c r="D218" s="46" t="str">
        <x:f>IFERROR(XLOOKUP(C218,'Animals'!$A$5:$A$104,'Animals'!$C$5:$C$104,""),"")</x:f>
      </x:c>
      <x:c r="E218" s="46" t="str">
        <x:f>IFERROR(XLOOKUP(C218,'Animals'!$A$5:$A$104,'Animals'!$H$5:$H$104,""),"")</x:f>
      </x:c>
      <x:c r="F218" s="71"/>
      <x:c r="G218" s="71"/>
      <x:c r="H218" s="71"/>
      <x:c r="I218" s="71"/>
      <x:c r="J218" s="71"/>
      <x:c r="K218" s="46"/>
      <x:c r="L218" s="46"/>
      <x:c r="M218" s="46"/>
      <x:c r="N218" s="46"/>
      <x:c r="O218" s="46"/>
      <x:c r="P218" s="46"/>
      <x:c r="Q218" s="47" t="str">
        <x:f>IF(C218="","",IF(OR(J218&gt;IFERROR(INDEX('Normal Parameters'!$G$5:$G$104,MATCH(1,('Normal Parameters'!$A$5:$A$104=D218)*('Normal Parameters'!$B$5:$B$104=E218)*('Normal Parameters'!$C$5:$C$104="Behavior Score"),0)),99),F218&lt;IFERROR(INDEX('Normal Parameters'!$E$5:$E$104,MATCH(1,('Normal Parameters'!$A$5:$A$104=D218)*('Normal Parameters'!$B$5:$B$104=E218)*('Normal Parameters'!$C$5:$C$104="Weight"),0)),0),F218&gt;IFERROR(INDEX('Normal Parameters'!$G$5:$G$104,MATCH(1,('Normal Parameters'!$A$5:$A$104=D218)*('Normal Parameters'!$B$5:$B$104=E218)*('Normal Parameters'!$C$5:$C$104="Weight"),0)),9999),I218&lt;IFERROR(INDEX('Normal Parameters'!$E$5:$E$104,MATCH(1,('Normal Parameters'!$A$5:$A$104=D218)*('Normal Parameters'!$B$5:$B$104=E218)*('Normal Parameters'!$C$5:$C$104="Temperature"),0)),0),I218&gt;IFERROR(INDEX('Normal Parameters'!$G$5:$G$104,MATCH(1,('Normal Parameters'!$A$5:$A$104=D218)*('Normal Parameters'!$B$5:$B$104=E218)*('Normal Parameters'!$C$5:$C$104="Temperature"),0)),9999)),"Check","Normal"))</x:f>
      </x:c>
    </x:row>
    <x:row r="219" ht="15" hidden="0" customHeight="1">
      <x:c r="A219" s="74"/>
      <x:c r="B219" s="46"/>
      <x:c r="C219" s="46"/>
      <x:c r="D219" s="46" t="str">
        <x:f>IFERROR(XLOOKUP(C219,'Animals'!$A$5:$A$104,'Animals'!$C$5:$C$104,""),"")</x:f>
      </x:c>
      <x:c r="E219" s="46" t="str">
        <x:f>IFERROR(XLOOKUP(C219,'Animals'!$A$5:$A$104,'Animals'!$H$5:$H$104,""),"")</x:f>
      </x:c>
      <x:c r="F219" s="71"/>
      <x:c r="G219" s="71"/>
      <x:c r="H219" s="71"/>
      <x:c r="I219" s="71"/>
      <x:c r="J219" s="71"/>
      <x:c r="K219" s="46"/>
      <x:c r="L219" s="46"/>
      <x:c r="M219" s="46"/>
      <x:c r="N219" s="46"/>
      <x:c r="O219" s="46"/>
      <x:c r="P219" s="46"/>
      <x:c r="Q219" s="47" t="str">
        <x:f>IF(C219="","",IF(OR(J219&gt;IFERROR(INDEX('Normal Parameters'!$G$5:$G$104,MATCH(1,('Normal Parameters'!$A$5:$A$104=D219)*('Normal Parameters'!$B$5:$B$104=E219)*('Normal Parameters'!$C$5:$C$104="Behavior Score"),0)),99),F219&lt;IFERROR(INDEX('Normal Parameters'!$E$5:$E$104,MATCH(1,('Normal Parameters'!$A$5:$A$104=D219)*('Normal Parameters'!$B$5:$B$104=E219)*('Normal Parameters'!$C$5:$C$104="Weight"),0)),0),F219&gt;IFERROR(INDEX('Normal Parameters'!$G$5:$G$104,MATCH(1,('Normal Parameters'!$A$5:$A$104=D219)*('Normal Parameters'!$B$5:$B$104=E219)*('Normal Parameters'!$C$5:$C$104="Weight"),0)),9999),I219&lt;IFERROR(INDEX('Normal Parameters'!$E$5:$E$104,MATCH(1,('Normal Parameters'!$A$5:$A$104=D219)*('Normal Parameters'!$B$5:$B$104=E219)*('Normal Parameters'!$C$5:$C$104="Temperature"),0)),0),I219&gt;IFERROR(INDEX('Normal Parameters'!$G$5:$G$104,MATCH(1,('Normal Parameters'!$A$5:$A$104=D219)*('Normal Parameters'!$B$5:$B$104=E219)*('Normal Parameters'!$C$5:$C$104="Temperature"),0)),9999)),"Check","Normal"))</x:f>
      </x:c>
    </x:row>
    <x:row r="220" ht="15" hidden="0" customHeight="1">
      <x:c r="A220" s="74"/>
      <x:c r="B220" s="46"/>
      <x:c r="C220" s="46"/>
      <x:c r="D220" s="46" t="str">
        <x:f>IFERROR(XLOOKUP(C220,'Animals'!$A$5:$A$104,'Animals'!$C$5:$C$104,""),"")</x:f>
      </x:c>
      <x:c r="E220" s="46" t="str">
        <x:f>IFERROR(XLOOKUP(C220,'Animals'!$A$5:$A$104,'Animals'!$H$5:$H$104,""),"")</x:f>
      </x:c>
      <x:c r="F220" s="71"/>
      <x:c r="G220" s="71"/>
      <x:c r="H220" s="71"/>
      <x:c r="I220" s="71"/>
      <x:c r="J220" s="71"/>
      <x:c r="K220" s="46"/>
      <x:c r="L220" s="46"/>
      <x:c r="M220" s="46"/>
      <x:c r="N220" s="46"/>
      <x:c r="O220" s="46"/>
      <x:c r="P220" s="46"/>
      <x:c r="Q220" s="47" t="str">
        <x:f>IF(C220="","",IF(OR(J220&gt;IFERROR(INDEX('Normal Parameters'!$G$5:$G$104,MATCH(1,('Normal Parameters'!$A$5:$A$104=D220)*('Normal Parameters'!$B$5:$B$104=E220)*('Normal Parameters'!$C$5:$C$104="Behavior Score"),0)),99),F220&lt;IFERROR(INDEX('Normal Parameters'!$E$5:$E$104,MATCH(1,('Normal Parameters'!$A$5:$A$104=D220)*('Normal Parameters'!$B$5:$B$104=E220)*('Normal Parameters'!$C$5:$C$104="Weight"),0)),0),F220&gt;IFERROR(INDEX('Normal Parameters'!$G$5:$G$104,MATCH(1,('Normal Parameters'!$A$5:$A$104=D220)*('Normal Parameters'!$B$5:$B$104=E220)*('Normal Parameters'!$C$5:$C$104="Weight"),0)),9999),I220&lt;IFERROR(INDEX('Normal Parameters'!$E$5:$E$104,MATCH(1,('Normal Parameters'!$A$5:$A$104=D220)*('Normal Parameters'!$B$5:$B$104=E220)*('Normal Parameters'!$C$5:$C$104="Temperature"),0)),0),I220&gt;IFERROR(INDEX('Normal Parameters'!$G$5:$G$104,MATCH(1,('Normal Parameters'!$A$5:$A$104=D220)*('Normal Parameters'!$B$5:$B$104=E220)*('Normal Parameters'!$C$5:$C$104="Temperature"),0)),9999)),"Check","Normal"))</x:f>
      </x:c>
    </x:row>
    <x:row r="221" ht="15" hidden="0" customHeight="1">
      <x:c r="A221" s="74"/>
      <x:c r="B221" s="46"/>
      <x:c r="C221" s="46"/>
      <x:c r="D221" s="46" t="str">
        <x:f>IFERROR(XLOOKUP(C221,'Animals'!$A$5:$A$104,'Animals'!$C$5:$C$104,""),"")</x:f>
      </x:c>
      <x:c r="E221" s="46" t="str">
        <x:f>IFERROR(XLOOKUP(C221,'Animals'!$A$5:$A$104,'Animals'!$H$5:$H$104,""),"")</x:f>
      </x:c>
      <x:c r="F221" s="71"/>
      <x:c r="G221" s="71"/>
      <x:c r="H221" s="71"/>
      <x:c r="I221" s="71"/>
      <x:c r="J221" s="71"/>
      <x:c r="K221" s="46"/>
      <x:c r="L221" s="46"/>
      <x:c r="M221" s="46"/>
      <x:c r="N221" s="46"/>
      <x:c r="O221" s="46"/>
      <x:c r="P221" s="46"/>
      <x:c r="Q221" s="47" t="str">
        <x:f>IF(C221="","",IF(OR(J221&gt;IFERROR(INDEX('Normal Parameters'!$G$5:$G$104,MATCH(1,('Normal Parameters'!$A$5:$A$104=D221)*('Normal Parameters'!$B$5:$B$104=E221)*('Normal Parameters'!$C$5:$C$104="Behavior Score"),0)),99),F221&lt;IFERROR(INDEX('Normal Parameters'!$E$5:$E$104,MATCH(1,('Normal Parameters'!$A$5:$A$104=D221)*('Normal Parameters'!$B$5:$B$104=E221)*('Normal Parameters'!$C$5:$C$104="Weight"),0)),0),F221&gt;IFERROR(INDEX('Normal Parameters'!$G$5:$G$104,MATCH(1,('Normal Parameters'!$A$5:$A$104=D221)*('Normal Parameters'!$B$5:$B$104=E221)*('Normal Parameters'!$C$5:$C$104="Weight"),0)),9999),I221&lt;IFERROR(INDEX('Normal Parameters'!$E$5:$E$104,MATCH(1,('Normal Parameters'!$A$5:$A$104=D221)*('Normal Parameters'!$B$5:$B$104=E221)*('Normal Parameters'!$C$5:$C$104="Temperature"),0)),0),I221&gt;IFERROR(INDEX('Normal Parameters'!$G$5:$G$104,MATCH(1,('Normal Parameters'!$A$5:$A$104=D221)*('Normal Parameters'!$B$5:$B$104=E221)*('Normal Parameters'!$C$5:$C$104="Temperature"),0)),9999)),"Check","Normal"))</x:f>
      </x:c>
    </x:row>
    <x:row r="222" ht="15" hidden="0" customHeight="1">
      <x:c r="A222" s="74"/>
      <x:c r="B222" s="46"/>
      <x:c r="C222" s="46"/>
      <x:c r="D222" s="46" t="str">
        <x:f>IFERROR(XLOOKUP(C222,'Animals'!$A$5:$A$104,'Animals'!$C$5:$C$104,""),"")</x:f>
      </x:c>
      <x:c r="E222" s="46" t="str">
        <x:f>IFERROR(XLOOKUP(C222,'Animals'!$A$5:$A$104,'Animals'!$H$5:$H$104,""),"")</x:f>
      </x:c>
      <x:c r="F222" s="71"/>
      <x:c r="G222" s="71"/>
      <x:c r="H222" s="71"/>
      <x:c r="I222" s="71"/>
      <x:c r="J222" s="71"/>
      <x:c r="K222" s="46"/>
      <x:c r="L222" s="46"/>
      <x:c r="M222" s="46"/>
      <x:c r="N222" s="46"/>
      <x:c r="O222" s="46"/>
      <x:c r="P222" s="46"/>
      <x:c r="Q222" s="47" t="str">
        <x:f>IF(C222="","",IF(OR(J222&gt;IFERROR(INDEX('Normal Parameters'!$G$5:$G$104,MATCH(1,('Normal Parameters'!$A$5:$A$104=D222)*('Normal Parameters'!$B$5:$B$104=E222)*('Normal Parameters'!$C$5:$C$104="Behavior Score"),0)),99),F222&lt;IFERROR(INDEX('Normal Parameters'!$E$5:$E$104,MATCH(1,('Normal Parameters'!$A$5:$A$104=D222)*('Normal Parameters'!$B$5:$B$104=E222)*('Normal Parameters'!$C$5:$C$104="Weight"),0)),0),F222&gt;IFERROR(INDEX('Normal Parameters'!$G$5:$G$104,MATCH(1,('Normal Parameters'!$A$5:$A$104=D222)*('Normal Parameters'!$B$5:$B$104=E222)*('Normal Parameters'!$C$5:$C$104="Weight"),0)),9999),I222&lt;IFERROR(INDEX('Normal Parameters'!$E$5:$E$104,MATCH(1,('Normal Parameters'!$A$5:$A$104=D222)*('Normal Parameters'!$B$5:$B$104=E222)*('Normal Parameters'!$C$5:$C$104="Temperature"),0)),0),I222&gt;IFERROR(INDEX('Normal Parameters'!$G$5:$G$104,MATCH(1,('Normal Parameters'!$A$5:$A$104=D222)*('Normal Parameters'!$B$5:$B$104=E222)*('Normal Parameters'!$C$5:$C$104="Temperature"),0)),9999)),"Check","Normal"))</x:f>
      </x:c>
    </x:row>
    <x:row r="223" ht="15" hidden="0" customHeight="1">
      <x:c r="A223" s="74"/>
      <x:c r="B223" s="46"/>
      <x:c r="C223" s="46"/>
      <x:c r="D223" s="46" t="str">
        <x:f>IFERROR(XLOOKUP(C223,'Animals'!$A$5:$A$104,'Animals'!$C$5:$C$104,""),"")</x:f>
      </x:c>
      <x:c r="E223" s="46" t="str">
        <x:f>IFERROR(XLOOKUP(C223,'Animals'!$A$5:$A$104,'Animals'!$H$5:$H$104,""),"")</x:f>
      </x:c>
      <x:c r="F223" s="71"/>
      <x:c r="G223" s="71"/>
      <x:c r="H223" s="71"/>
      <x:c r="I223" s="71"/>
      <x:c r="J223" s="71"/>
      <x:c r="K223" s="46"/>
      <x:c r="L223" s="46"/>
      <x:c r="M223" s="46"/>
      <x:c r="N223" s="46"/>
      <x:c r="O223" s="46"/>
      <x:c r="P223" s="46"/>
      <x:c r="Q223" s="47" t="str">
        <x:f>IF(C223="","",IF(OR(J223&gt;IFERROR(INDEX('Normal Parameters'!$G$5:$G$104,MATCH(1,('Normal Parameters'!$A$5:$A$104=D223)*('Normal Parameters'!$B$5:$B$104=E223)*('Normal Parameters'!$C$5:$C$104="Behavior Score"),0)),99),F223&lt;IFERROR(INDEX('Normal Parameters'!$E$5:$E$104,MATCH(1,('Normal Parameters'!$A$5:$A$104=D223)*('Normal Parameters'!$B$5:$B$104=E223)*('Normal Parameters'!$C$5:$C$104="Weight"),0)),0),F223&gt;IFERROR(INDEX('Normal Parameters'!$G$5:$G$104,MATCH(1,('Normal Parameters'!$A$5:$A$104=D223)*('Normal Parameters'!$B$5:$B$104=E223)*('Normal Parameters'!$C$5:$C$104="Weight"),0)),9999),I223&lt;IFERROR(INDEX('Normal Parameters'!$E$5:$E$104,MATCH(1,('Normal Parameters'!$A$5:$A$104=D223)*('Normal Parameters'!$B$5:$B$104=E223)*('Normal Parameters'!$C$5:$C$104="Temperature"),0)),0),I223&gt;IFERROR(INDEX('Normal Parameters'!$G$5:$G$104,MATCH(1,('Normal Parameters'!$A$5:$A$104=D223)*('Normal Parameters'!$B$5:$B$104=E223)*('Normal Parameters'!$C$5:$C$104="Temperature"),0)),9999)),"Check","Normal"))</x:f>
      </x:c>
    </x:row>
    <x:row r="224" ht="15" hidden="0" customHeight="1">
      <x:c r="A224" s="74"/>
      <x:c r="B224" s="46"/>
      <x:c r="C224" s="46"/>
      <x:c r="D224" s="46" t="str">
        <x:f>IFERROR(XLOOKUP(C224,'Animals'!$A$5:$A$104,'Animals'!$C$5:$C$104,""),"")</x:f>
      </x:c>
      <x:c r="E224" s="46" t="str">
        <x:f>IFERROR(XLOOKUP(C224,'Animals'!$A$5:$A$104,'Animals'!$H$5:$H$104,""),"")</x:f>
      </x:c>
      <x:c r="F224" s="71"/>
      <x:c r="G224" s="71"/>
      <x:c r="H224" s="71"/>
      <x:c r="I224" s="71"/>
      <x:c r="J224" s="71"/>
      <x:c r="K224" s="46"/>
      <x:c r="L224" s="46"/>
      <x:c r="M224" s="46"/>
      <x:c r="N224" s="46"/>
      <x:c r="O224" s="46"/>
      <x:c r="P224" s="46"/>
      <x:c r="Q224" s="47" t="str">
        <x:f>IF(C224="","",IF(OR(J224&gt;IFERROR(INDEX('Normal Parameters'!$G$5:$G$104,MATCH(1,('Normal Parameters'!$A$5:$A$104=D224)*('Normal Parameters'!$B$5:$B$104=E224)*('Normal Parameters'!$C$5:$C$104="Behavior Score"),0)),99),F224&lt;IFERROR(INDEX('Normal Parameters'!$E$5:$E$104,MATCH(1,('Normal Parameters'!$A$5:$A$104=D224)*('Normal Parameters'!$B$5:$B$104=E224)*('Normal Parameters'!$C$5:$C$104="Weight"),0)),0),F224&gt;IFERROR(INDEX('Normal Parameters'!$G$5:$G$104,MATCH(1,('Normal Parameters'!$A$5:$A$104=D224)*('Normal Parameters'!$B$5:$B$104=E224)*('Normal Parameters'!$C$5:$C$104="Weight"),0)),9999),I224&lt;IFERROR(INDEX('Normal Parameters'!$E$5:$E$104,MATCH(1,('Normal Parameters'!$A$5:$A$104=D224)*('Normal Parameters'!$B$5:$B$104=E224)*('Normal Parameters'!$C$5:$C$104="Temperature"),0)),0),I224&gt;IFERROR(INDEX('Normal Parameters'!$G$5:$G$104,MATCH(1,('Normal Parameters'!$A$5:$A$104=D224)*('Normal Parameters'!$B$5:$B$104=E224)*('Normal Parameters'!$C$5:$C$104="Temperature"),0)),9999)),"Check","Normal"))</x:f>
      </x:c>
    </x:row>
    <x:row r="225" ht="15" hidden="0" customHeight="1">
      <x:c r="A225" s="74"/>
      <x:c r="B225" s="46"/>
      <x:c r="C225" s="46"/>
      <x:c r="D225" s="46" t="str">
        <x:f>IFERROR(XLOOKUP(C225,'Animals'!$A$5:$A$104,'Animals'!$C$5:$C$104,""),"")</x:f>
      </x:c>
      <x:c r="E225" s="46" t="str">
        <x:f>IFERROR(XLOOKUP(C225,'Animals'!$A$5:$A$104,'Animals'!$H$5:$H$104,""),"")</x:f>
      </x:c>
      <x:c r="F225" s="71"/>
      <x:c r="G225" s="71"/>
      <x:c r="H225" s="71"/>
      <x:c r="I225" s="71"/>
      <x:c r="J225" s="71"/>
      <x:c r="K225" s="46"/>
      <x:c r="L225" s="46"/>
      <x:c r="M225" s="46"/>
      <x:c r="N225" s="46"/>
      <x:c r="O225" s="46"/>
      <x:c r="P225" s="46"/>
      <x:c r="Q225" s="47" t="str">
        <x:f>IF(C225="","",IF(OR(J225&gt;IFERROR(INDEX('Normal Parameters'!$G$5:$G$104,MATCH(1,('Normal Parameters'!$A$5:$A$104=D225)*('Normal Parameters'!$B$5:$B$104=E225)*('Normal Parameters'!$C$5:$C$104="Behavior Score"),0)),99),F225&lt;IFERROR(INDEX('Normal Parameters'!$E$5:$E$104,MATCH(1,('Normal Parameters'!$A$5:$A$104=D225)*('Normal Parameters'!$B$5:$B$104=E225)*('Normal Parameters'!$C$5:$C$104="Weight"),0)),0),F225&gt;IFERROR(INDEX('Normal Parameters'!$G$5:$G$104,MATCH(1,('Normal Parameters'!$A$5:$A$104=D225)*('Normal Parameters'!$B$5:$B$104=E225)*('Normal Parameters'!$C$5:$C$104="Weight"),0)),9999),I225&lt;IFERROR(INDEX('Normal Parameters'!$E$5:$E$104,MATCH(1,('Normal Parameters'!$A$5:$A$104=D225)*('Normal Parameters'!$B$5:$B$104=E225)*('Normal Parameters'!$C$5:$C$104="Temperature"),0)),0),I225&gt;IFERROR(INDEX('Normal Parameters'!$G$5:$G$104,MATCH(1,('Normal Parameters'!$A$5:$A$104=D225)*('Normal Parameters'!$B$5:$B$104=E225)*('Normal Parameters'!$C$5:$C$104="Temperature"),0)),9999)),"Check","Normal"))</x:f>
      </x:c>
    </x:row>
    <x:row r="226" ht="15" hidden="0" customHeight="1">
      <x:c r="A226" s="74"/>
      <x:c r="B226" s="46"/>
      <x:c r="C226" s="46"/>
      <x:c r="D226" s="46" t="str">
        <x:f>IFERROR(XLOOKUP(C226,'Animals'!$A$5:$A$104,'Animals'!$C$5:$C$104,""),"")</x:f>
      </x:c>
      <x:c r="E226" s="46" t="str">
        <x:f>IFERROR(XLOOKUP(C226,'Animals'!$A$5:$A$104,'Animals'!$H$5:$H$104,""),"")</x:f>
      </x:c>
      <x:c r="F226" s="71"/>
      <x:c r="G226" s="71"/>
      <x:c r="H226" s="71"/>
      <x:c r="I226" s="71"/>
      <x:c r="J226" s="71"/>
      <x:c r="K226" s="46"/>
      <x:c r="L226" s="46"/>
      <x:c r="M226" s="46"/>
      <x:c r="N226" s="46"/>
      <x:c r="O226" s="46"/>
      <x:c r="P226" s="46"/>
      <x:c r="Q226" s="47" t="str">
        <x:f>IF(C226="","",IF(OR(J226&gt;IFERROR(INDEX('Normal Parameters'!$G$5:$G$104,MATCH(1,('Normal Parameters'!$A$5:$A$104=D226)*('Normal Parameters'!$B$5:$B$104=E226)*('Normal Parameters'!$C$5:$C$104="Behavior Score"),0)),99),F226&lt;IFERROR(INDEX('Normal Parameters'!$E$5:$E$104,MATCH(1,('Normal Parameters'!$A$5:$A$104=D226)*('Normal Parameters'!$B$5:$B$104=E226)*('Normal Parameters'!$C$5:$C$104="Weight"),0)),0),F226&gt;IFERROR(INDEX('Normal Parameters'!$G$5:$G$104,MATCH(1,('Normal Parameters'!$A$5:$A$104=D226)*('Normal Parameters'!$B$5:$B$104=E226)*('Normal Parameters'!$C$5:$C$104="Weight"),0)),9999),I226&lt;IFERROR(INDEX('Normal Parameters'!$E$5:$E$104,MATCH(1,('Normal Parameters'!$A$5:$A$104=D226)*('Normal Parameters'!$B$5:$B$104=E226)*('Normal Parameters'!$C$5:$C$104="Temperature"),0)),0),I226&gt;IFERROR(INDEX('Normal Parameters'!$G$5:$G$104,MATCH(1,('Normal Parameters'!$A$5:$A$104=D226)*('Normal Parameters'!$B$5:$B$104=E226)*('Normal Parameters'!$C$5:$C$104="Temperature"),0)),9999)),"Check","Normal"))</x:f>
      </x:c>
    </x:row>
    <x:row r="227" ht="15" hidden="0" customHeight="1">
      <x:c r="A227" s="74"/>
      <x:c r="B227" s="46"/>
      <x:c r="C227" s="46"/>
      <x:c r="D227" s="46" t="str">
        <x:f>IFERROR(XLOOKUP(C227,'Animals'!$A$5:$A$104,'Animals'!$C$5:$C$104,""),"")</x:f>
      </x:c>
      <x:c r="E227" s="46" t="str">
        <x:f>IFERROR(XLOOKUP(C227,'Animals'!$A$5:$A$104,'Animals'!$H$5:$H$104,""),"")</x:f>
      </x:c>
      <x:c r="F227" s="71"/>
      <x:c r="G227" s="71"/>
      <x:c r="H227" s="71"/>
      <x:c r="I227" s="71"/>
      <x:c r="J227" s="71"/>
      <x:c r="K227" s="46"/>
      <x:c r="L227" s="46"/>
      <x:c r="M227" s="46"/>
      <x:c r="N227" s="46"/>
      <x:c r="O227" s="46"/>
      <x:c r="P227" s="46"/>
      <x:c r="Q227" s="47" t="str">
        <x:f>IF(C227="","",IF(OR(J227&gt;IFERROR(INDEX('Normal Parameters'!$G$5:$G$104,MATCH(1,('Normal Parameters'!$A$5:$A$104=D227)*('Normal Parameters'!$B$5:$B$104=E227)*('Normal Parameters'!$C$5:$C$104="Behavior Score"),0)),99),F227&lt;IFERROR(INDEX('Normal Parameters'!$E$5:$E$104,MATCH(1,('Normal Parameters'!$A$5:$A$104=D227)*('Normal Parameters'!$B$5:$B$104=E227)*('Normal Parameters'!$C$5:$C$104="Weight"),0)),0),F227&gt;IFERROR(INDEX('Normal Parameters'!$G$5:$G$104,MATCH(1,('Normal Parameters'!$A$5:$A$104=D227)*('Normal Parameters'!$B$5:$B$104=E227)*('Normal Parameters'!$C$5:$C$104="Weight"),0)),9999),I227&lt;IFERROR(INDEX('Normal Parameters'!$E$5:$E$104,MATCH(1,('Normal Parameters'!$A$5:$A$104=D227)*('Normal Parameters'!$B$5:$B$104=E227)*('Normal Parameters'!$C$5:$C$104="Temperature"),0)),0),I227&gt;IFERROR(INDEX('Normal Parameters'!$G$5:$G$104,MATCH(1,('Normal Parameters'!$A$5:$A$104=D227)*('Normal Parameters'!$B$5:$B$104=E227)*('Normal Parameters'!$C$5:$C$104="Temperature"),0)),9999)),"Check","Normal"))</x:f>
      </x:c>
    </x:row>
    <x:row r="228" ht="15" hidden="0" customHeight="1">
      <x:c r="A228" s="74"/>
      <x:c r="B228" s="46"/>
      <x:c r="C228" s="46"/>
      <x:c r="D228" s="46" t="str">
        <x:f>IFERROR(XLOOKUP(C228,'Animals'!$A$5:$A$104,'Animals'!$C$5:$C$104,""),"")</x:f>
      </x:c>
      <x:c r="E228" s="46" t="str">
        <x:f>IFERROR(XLOOKUP(C228,'Animals'!$A$5:$A$104,'Animals'!$H$5:$H$104,""),"")</x:f>
      </x:c>
      <x:c r="F228" s="71"/>
      <x:c r="G228" s="71"/>
      <x:c r="H228" s="71"/>
      <x:c r="I228" s="71"/>
      <x:c r="J228" s="71"/>
      <x:c r="K228" s="46"/>
      <x:c r="L228" s="46"/>
      <x:c r="M228" s="46"/>
      <x:c r="N228" s="46"/>
      <x:c r="O228" s="46"/>
      <x:c r="P228" s="46"/>
      <x:c r="Q228" s="47" t="str">
        <x:f>IF(C228="","",IF(OR(J228&gt;IFERROR(INDEX('Normal Parameters'!$G$5:$G$104,MATCH(1,('Normal Parameters'!$A$5:$A$104=D228)*('Normal Parameters'!$B$5:$B$104=E228)*('Normal Parameters'!$C$5:$C$104="Behavior Score"),0)),99),F228&lt;IFERROR(INDEX('Normal Parameters'!$E$5:$E$104,MATCH(1,('Normal Parameters'!$A$5:$A$104=D228)*('Normal Parameters'!$B$5:$B$104=E228)*('Normal Parameters'!$C$5:$C$104="Weight"),0)),0),F228&gt;IFERROR(INDEX('Normal Parameters'!$G$5:$G$104,MATCH(1,('Normal Parameters'!$A$5:$A$104=D228)*('Normal Parameters'!$B$5:$B$104=E228)*('Normal Parameters'!$C$5:$C$104="Weight"),0)),9999),I228&lt;IFERROR(INDEX('Normal Parameters'!$E$5:$E$104,MATCH(1,('Normal Parameters'!$A$5:$A$104=D228)*('Normal Parameters'!$B$5:$B$104=E228)*('Normal Parameters'!$C$5:$C$104="Temperature"),0)),0),I228&gt;IFERROR(INDEX('Normal Parameters'!$G$5:$G$104,MATCH(1,('Normal Parameters'!$A$5:$A$104=D228)*('Normal Parameters'!$B$5:$B$104=E228)*('Normal Parameters'!$C$5:$C$104="Temperature"),0)),9999)),"Check","Normal"))</x:f>
      </x:c>
    </x:row>
    <x:row r="229" ht="15" hidden="0" customHeight="1">
      <x:c r="A229" s="74"/>
      <x:c r="B229" s="46"/>
      <x:c r="C229" s="46"/>
      <x:c r="D229" s="46" t="str">
        <x:f>IFERROR(XLOOKUP(C229,'Animals'!$A$5:$A$104,'Animals'!$C$5:$C$104,""),"")</x:f>
      </x:c>
      <x:c r="E229" s="46" t="str">
        <x:f>IFERROR(XLOOKUP(C229,'Animals'!$A$5:$A$104,'Animals'!$H$5:$H$104,""),"")</x:f>
      </x:c>
      <x:c r="F229" s="71"/>
      <x:c r="G229" s="71"/>
      <x:c r="H229" s="71"/>
      <x:c r="I229" s="71"/>
      <x:c r="J229" s="71"/>
      <x:c r="K229" s="46"/>
      <x:c r="L229" s="46"/>
      <x:c r="M229" s="46"/>
      <x:c r="N229" s="46"/>
      <x:c r="O229" s="46"/>
      <x:c r="P229" s="46"/>
      <x:c r="Q229" s="47" t="str">
        <x:f>IF(C229="","",IF(OR(J229&gt;IFERROR(INDEX('Normal Parameters'!$G$5:$G$104,MATCH(1,('Normal Parameters'!$A$5:$A$104=D229)*('Normal Parameters'!$B$5:$B$104=E229)*('Normal Parameters'!$C$5:$C$104="Behavior Score"),0)),99),F229&lt;IFERROR(INDEX('Normal Parameters'!$E$5:$E$104,MATCH(1,('Normal Parameters'!$A$5:$A$104=D229)*('Normal Parameters'!$B$5:$B$104=E229)*('Normal Parameters'!$C$5:$C$104="Weight"),0)),0),F229&gt;IFERROR(INDEX('Normal Parameters'!$G$5:$G$104,MATCH(1,('Normal Parameters'!$A$5:$A$104=D229)*('Normal Parameters'!$B$5:$B$104=E229)*('Normal Parameters'!$C$5:$C$104="Weight"),0)),9999),I229&lt;IFERROR(INDEX('Normal Parameters'!$E$5:$E$104,MATCH(1,('Normal Parameters'!$A$5:$A$104=D229)*('Normal Parameters'!$B$5:$B$104=E229)*('Normal Parameters'!$C$5:$C$104="Temperature"),0)),0),I229&gt;IFERROR(INDEX('Normal Parameters'!$G$5:$G$104,MATCH(1,('Normal Parameters'!$A$5:$A$104=D229)*('Normal Parameters'!$B$5:$B$104=E229)*('Normal Parameters'!$C$5:$C$104="Temperature"),0)),9999)),"Check","Normal"))</x:f>
      </x:c>
    </x:row>
    <x:row r="230" ht="15" hidden="0" customHeight="1">
      <x:c r="A230" s="74"/>
      <x:c r="B230" s="46"/>
      <x:c r="C230" s="46"/>
      <x:c r="D230" s="46" t="str">
        <x:f>IFERROR(XLOOKUP(C230,'Animals'!$A$5:$A$104,'Animals'!$C$5:$C$104,""),"")</x:f>
      </x:c>
      <x:c r="E230" s="46" t="str">
        <x:f>IFERROR(XLOOKUP(C230,'Animals'!$A$5:$A$104,'Animals'!$H$5:$H$104,""),"")</x:f>
      </x:c>
      <x:c r="F230" s="71"/>
      <x:c r="G230" s="71"/>
      <x:c r="H230" s="71"/>
      <x:c r="I230" s="71"/>
      <x:c r="J230" s="71"/>
      <x:c r="K230" s="46"/>
      <x:c r="L230" s="46"/>
      <x:c r="M230" s="46"/>
      <x:c r="N230" s="46"/>
      <x:c r="O230" s="46"/>
      <x:c r="P230" s="46"/>
      <x:c r="Q230" s="47" t="str">
        <x:f>IF(C230="","",IF(OR(J230&gt;IFERROR(INDEX('Normal Parameters'!$G$5:$G$104,MATCH(1,('Normal Parameters'!$A$5:$A$104=D230)*('Normal Parameters'!$B$5:$B$104=E230)*('Normal Parameters'!$C$5:$C$104="Behavior Score"),0)),99),F230&lt;IFERROR(INDEX('Normal Parameters'!$E$5:$E$104,MATCH(1,('Normal Parameters'!$A$5:$A$104=D230)*('Normal Parameters'!$B$5:$B$104=E230)*('Normal Parameters'!$C$5:$C$104="Weight"),0)),0),F230&gt;IFERROR(INDEX('Normal Parameters'!$G$5:$G$104,MATCH(1,('Normal Parameters'!$A$5:$A$104=D230)*('Normal Parameters'!$B$5:$B$104=E230)*('Normal Parameters'!$C$5:$C$104="Weight"),0)),9999),I230&lt;IFERROR(INDEX('Normal Parameters'!$E$5:$E$104,MATCH(1,('Normal Parameters'!$A$5:$A$104=D230)*('Normal Parameters'!$B$5:$B$104=E230)*('Normal Parameters'!$C$5:$C$104="Temperature"),0)),0),I230&gt;IFERROR(INDEX('Normal Parameters'!$G$5:$G$104,MATCH(1,('Normal Parameters'!$A$5:$A$104=D230)*('Normal Parameters'!$B$5:$B$104=E230)*('Normal Parameters'!$C$5:$C$104="Temperature"),0)),9999)),"Check","Normal"))</x:f>
      </x:c>
    </x:row>
    <x:row r="231" ht="15" hidden="0" customHeight="1">
      <x:c r="A231" s="74"/>
      <x:c r="B231" s="46"/>
      <x:c r="C231" s="46"/>
      <x:c r="D231" s="46" t="str">
        <x:f>IFERROR(XLOOKUP(C231,'Animals'!$A$5:$A$104,'Animals'!$C$5:$C$104,""),"")</x:f>
      </x:c>
      <x:c r="E231" s="46" t="str">
        <x:f>IFERROR(XLOOKUP(C231,'Animals'!$A$5:$A$104,'Animals'!$H$5:$H$104,""),"")</x:f>
      </x:c>
      <x:c r="F231" s="71"/>
      <x:c r="G231" s="71"/>
      <x:c r="H231" s="71"/>
      <x:c r="I231" s="71"/>
      <x:c r="J231" s="71"/>
      <x:c r="K231" s="46"/>
      <x:c r="L231" s="46"/>
      <x:c r="M231" s="46"/>
      <x:c r="N231" s="46"/>
      <x:c r="O231" s="46"/>
      <x:c r="P231" s="46"/>
      <x:c r="Q231" s="47" t="str">
        <x:f>IF(C231="","",IF(OR(J231&gt;IFERROR(INDEX('Normal Parameters'!$G$5:$G$104,MATCH(1,('Normal Parameters'!$A$5:$A$104=D231)*('Normal Parameters'!$B$5:$B$104=E231)*('Normal Parameters'!$C$5:$C$104="Behavior Score"),0)),99),F231&lt;IFERROR(INDEX('Normal Parameters'!$E$5:$E$104,MATCH(1,('Normal Parameters'!$A$5:$A$104=D231)*('Normal Parameters'!$B$5:$B$104=E231)*('Normal Parameters'!$C$5:$C$104="Weight"),0)),0),F231&gt;IFERROR(INDEX('Normal Parameters'!$G$5:$G$104,MATCH(1,('Normal Parameters'!$A$5:$A$104=D231)*('Normal Parameters'!$B$5:$B$104=E231)*('Normal Parameters'!$C$5:$C$104="Weight"),0)),9999),I231&lt;IFERROR(INDEX('Normal Parameters'!$E$5:$E$104,MATCH(1,('Normal Parameters'!$A$5:$A$104=D231)*('Normal Parameters'!$B$5:$B$104=E231)*('Normal Parameters'!$C$5:$C$104="Temperature"),0)),0),I231&gt;IFERROR(INDEX('Normal Parameters'!$G$5:$G$104,MATCH(1,('Normal Parameters'!$A$5:$A$104=D231)*('Normal Parameters'!$B$5:$B$104=E231)*('Normal Parameters'!$C$5:$C$104="Temperature"),0)),9999)),"Check","Normal"))</x:f>
      </x:c>
    </x:row>
    <x:row r="232" ht="15" hidden="0" customHeight="1">
      <x:c r="A232" s="74"/>
      <x:c r="B232" s="46"/>
      <x:c r="C232" s="46"/>
      <x:c r="D232" s="46" t="str">
        <x:f>IFERROR(XLOOKUP(C232,'Animals'!$A$5:$A$104,'Animals'!$C$5:$C$104,""),"")</x:f>
      </x:c>
      <x:c r="E232" s="46" t="str">
        <x:f>IFERROR(XLOOKUP(C232,'Animals'!$A$5:$A$104,'Animals'!$H$5:$H$104,""),"")</x:f>
      </x:c>
      <x:c r="F232" s="71"/>
      <x:c r="G232" s="71"/>
      <x:c r="H232" s="71"/>
      <x:c r="I232" s="71"/>
      <x:c r="J232" s="71"/>
      <x:c r="K232" s="46"/>
      <x:c r="L232" s="46"/>
      <x:c r="M232" s="46"/>
      <x:c r="N232" s="46"/>
      <x:c r="O232" s="46"/>
      <x:c r="P232" s="46"/>
      <x:c r="Q232" s="47" t="str">
        <x:f>IF(C232="","",IF(OR(J232&gt;IFERROR(INDEX('Normal Parameters'!$G$5:$G$104,MATCH(1,('Normal Parameters'!$A$5:$A$104=D232)*('Normal Parameters'!$B$5:$B$104=E232)*('Normal Parameters'!$C$5:$C$104="Behavior Score"),0)),99),F232&lt;IFERROR(INDEX('Normal Parameters'!$E$5:$E$104,MATCH(1,('Normal Parameters'!$A$5:$A$104=D232)*('Normal Parameters'!$B$5:$B$104=E232)*('Normal Parameters'!$C$5:$C$104="Weight"),0)),0),F232&gt;IFERROR(INDEX('Normal Parameters'!$G$5:$G$104,MATCH(1,('Normal Parameters'!$A$5:$A$104=D232)*('Normal Parameters'!$B$5:$B$104=E232)*('Normal Parameters'!$C$5:$C$104="Weight"),0)),9999),I232&lt;IFERROR(INDEX('Normal Parameters'!$E$5:$E$104,MATCH(1,('Normal Parameters'!$A$5:$A$104=D232)*('Normal Parameters'!$B$5:$B$104=E232)*('Normal Parameters'!$C$5:$C$104="Temperature"),0)),0),I232&gt;IFERROR(INDEX('Normal Parameters'!$G$5:$G$104,MATCH(1,('Normal Parameters'!$A$5:$A$104=D232)*('Normal Parameters'!$B$5:$B$104=E232)*('Normal Parameters'!$C$5:$C$104="Temperature"),0)),9999)),"Check","Normal"))</x:f>
      </x:c>
    </x:row>
    <x:row r="233" ht="15" hidden="0" customHeight="1">
      <x:c r="A233" s="74"/>
      <x:c r="B233" s="46"/>
      <x:c r="C233" s="46"/>
      <x:c r="D233" s="46" t="str">
        <x:f>IFERROR(XLOOKUP(C233,'Animals'!$A$5:$A$104,'Animals'!$C$5:$C$104,""),"")</x:f>
      </x:c>
      <x:c r="E233" s="46" t="str">
        <x:f>IFERROR(XLOOKUP(C233,'Animals'!$A$5:$A$104,'Animals'!$H$5:$H$104,""),"")</x:f>
      </x:c>
      <x:c r="F233" s="71"/>
      <x:c r="G233" s="71"/>
      <x:c r="H233" s="71"/>
      <x:c r="I233" s="71"/>
      <x:c r="J233" s="71"/>
      <x:c r="K233" s="46"/>
      <x:c r="L233" s="46"/>
      <x:c r="M233" s="46"/>
      <x:c r="N233" s="46"/>
      <x:c r="O233" s="46"/>
      <x:c r="P233" s="46"/>
      <x:c r="Q233" s="47" t="str">
        <x:f>IF(C233="","",IF(OR(J233&gt;IFERROR(INDEX('Normal Parameters'!$G$5:$G$104,MATCH(1,('Normal Parameters'!$A$5:$A$104=D233)*('Normal Parameters'!$B$5:$B$104=E233)*('Normal Parameters'!$C$5:$C$104="Behavior Score"),0)),99),F233&lt;IFERROR(INDEX('Normal Parameters'!$E$5:$E$104,MATCH(1,('Normal Parameters'!$A$5:$A$104=D233)*('Normal Parameters'!$B$5:$B$104=E233)*('Normal Parameters'!$C$5:$C$104="Weight"),0)),0),F233&gt;IFERROR(INDEX('Normal Parameters'!$G$5:$G$104,MATCH(1,('Normal Parameters'!$A$5:$A$104=D233)*('Normal Parameters'!$B$5:$B$104=E233)*('Normal Parameters'!$C$5:$C$104="Weight"),0)),9999),I233&lt;IFERROR(INDEX('Normal Parameters'!$E$5:$E$104,MATCH(1,('Normal Parameters'!$A$5:$A$104=D233)*('Normal Parameters'!$B$5:$B$104=E233)*('Normal Parameters'!$C$5:$C$104="Temperature"),0)),0),I233&gt;IFERROR(INDEX('Normal Parameters'!$G$5:$G$104,MATCH(1,('Normal Parameters'!$A$5:$A$104=D233)*('Normal Parameters'!$B$5:$B$104=E233)*('Normal Parameters'!$C$5:$C$104="Temperature"),0)),9999)),"Check","Normal"))</x:f>
      </x:c>
    </x:row>
    <x:row r="234" ht="15" hidden="0" customHeight="1">
      <x:c r="A234" s="74"/>
      <x:c r="B234" s="46"/>
      <x:c r="C234" s="46"/>
      <x:c r="D234" s="46" t="str">
        <x:f>IFERROR(XLOOKUP(C234,'Animals'!$A$5:$A$104,'Animals'!$C$5:$C$104,""),"")</x:f>
      </x:c>
      <x:c r="E234" s="46" t="str">
        <x:f>IFERROR(XLOOKUP(C234,'Animals'!$A$5:$A$104,'Animals'!$H$5:$H$104,""),"")</x:f>
      </x:c>
      <x:c r="F234" s="71"/>
      <x:c r="G234" s="71"/>
      <x:c r="H234" s="71"/>
      <x:c r="I234" s="71"/>
      <x:c r="J234" s="71"/>
      <x:c r="K234" s="46"/>
      <x:c r="L234" s="46"/>
      <x:c r="M234" s="46"/>
      <x:c r="N234" s="46"/>
      <x:c r="O234" s="46"/>
      <x:c r="P234" s="46"/>
      <x:c r="Q234" s="47" t="str">
        <x:f>IF(C234="","",IF(OR(J234&gt;IFERROR(INDEX('Normal Parameters'!$G$5:$G$104,MATCH(1,('Normal Parameters'!$A$5:$A$104=D234)*('Normal Parameters'!$B$5:$B$104=E234)*('Normal Parameters'!$C$5:$C$104="Behavior Score"),0)),99),F234&lt;IFERROR(INDEX('Normal Parameters'!$E$5:$E$104,MATCH(1,('Normal Parameters'!$A$5:$A$104=D234)*('Normal Parameters'!$B$5:$B$104=E234)*('Normal Parameters'!$C$5:$C$104="Weight"),0)),0),F234&gt;IFERROR(INDEX('Normal Parameters'!$G$5:$G$104,MATCH(1,('Normal Parameters'!$A$5:$A$104=D234)*('Normal Parameters'!$B$5:$B$104=E234)*('Normal Parameters'!$C$5:$C$104="Weight"),0)),9999),I234&lt;IFERROR(INDEX('Normal Parameters'!$E$5:$E$104,MATCH(1,('Normal Parameters'!$A$5:$A$104=D234)*('Normal Parameters'!$B$5:$B$104=E234)*('Normal Parameters'!$C$5:$C$104="Temperature"),0)),0),I234&gt;IFERROR(INDEX('Normal Parameters'!$G$5:$G$104,MATCH(1,('Normal Parameters'!$A$5:$A$104=D234)*('Normal Parameters'!$B$5:$B$104=E234)*('Normal Parameters'!$C$5:$C$104="Temperature"),0)),9999)),"Check","Normal"))</x:f>
      </x:c>
    </x:row>
    <x:row r="235" ht="15" hidden="0" customHeight="1">
      <x:c r="A235" s="74"/>
      <x:c r="B235" s="46"/>
      <x:c r="C235" s="46"/>
      <x:c r="D235" s="46" t="str">
        <x:f>IFERROR(XLOOKUP(C235,'Animals'!$A$5:$A$104,'Animals'!$C$5:$C$104,""),"")</x:f>
      </x:c>
      <x:c r="E235" s="46" t="str">
        <x:f>IFERROR(XLOOKUP(C235,'Animals'!$A$5:$A$104,'Animals'!$H$5:$H$104,""),"")</x:f>
      </x:c>
      <x:c r="F235" s="71"/>
      <x:c r="G235" s="71"/>
      <x:c r="H235" s="71"/>
      <x:c r="I235" s="71"/>
      <x:c r="J235" s="71"/>
      <x:c r="K235" s="46"/>
      <x:c r="L235" s="46"/>
      <x:c r="M235" s="46"/>
      <x:c r="N235" s="46"/>
      <x:c r="O235" s="46"/>
      <x:c r="P235" s="46"/>
      <x:c r="Q235" s="47" t="str">
        <x:f>IF(C235="","",IF(OR(J235&gt;IFERROR(INDEX('Normal Parameters'!$G$5:$G$104,MATCH(1,('Normal Parameters'!$A$5:$A$104=D235)*('Normal Parameters'!$B$5:$B$104=E235)*('Normal Parameters'!$C$5:$C$104="Behavior Score"),0)),99),F235&lt;IFERROR(INDEX('Normal Parameters'!$E$5:$E$104,MATCH(1,('Normal Parameters'!$A$5:$A$104=D235)*('Normal Parameters'!$B$5:$B$104=E235)*('Normal Parameters'!$C$5:$C$104="Weight"),0)),0),F235&gt;IFERROR(INDEX('Normal Parameters'!$G$5:$G$104,MATCH(1,('Normal Parameters'!$A$5:$A$104=D235)*('Normal Parameters'!$B$5:$B$104=E235)*('Normal Parameters'!$C$5:$C$104="Weight"),0)),9999),I235&lt;IFERROR(INDEX('Normal Parameters'!$E$5:$E$104,MATCH(1,('Normal Parameters'!$A$5:$A$104=D235)*('Normal Parameters'!$B$5:$B$104=E235)*('Normal Parameters'!$C$5:$C$104="Temperature"),0)),0),I235&gt;IFERROR(INDEX('Normal Parameters'!$G$5:$G$104,MATCH(1,('Normal Parameters'!$A$5:$A$104=D235)*('Normal Parameters'!$B$5:$B$104=E235)*('Normal Parameters'!$C$5:$C$104="Temperature"),0)),9999)),"Check","Normal"))</x:f>
      </x:c>
    </x:row>
    <x:row r="236" ht="15" hidden="0" customHeight="1">
      <x:c r="A236" s="74"/>
      <x:c r="B236" s="46"/>
      <x:c r="C236" s="46"/>
      <x:c r="D236" s="46" t="str">
        <x:f>IFERROR(XLOOKUP(C236,'Animals'!$A$5:$A$104,'Animals'!$C$5:$C$104,""),"")</x:f>
      </x:c>
      <x:c r="E236" s="46" t="str">
        <x:f>IFERROR(XLOOKUP(C236,'Animals'!$A$5:$A$104,'Animals'!$H$5:$H$104,""),"")</x:f>
      </x:c>
      <x:c r="F236" s="71"/>
      <x:c r="G236" s="71"/>
      <x:c r="H236" s="71"/>
      <x:c r="I236" s="71"/>
      <x:c r="J236" s="71"/>
      <x:c r="K236" s="46"/>
      <x:c r="L236" s="46"/>
      <x:c r="M236" s="46"/>
      <x:c r="N236" s="46"/>
      <x:c r="O236" s="46"/>
      <x:c r="P236" s="46"/>
      <x:c r="Q236" s="47" t="str">
        <x:f>IF(C236="","",IF(OR(J236&gt;IFERROR(INDEX('Normal Parameters'!$G$5:$G$104,MATCH(1,('Normal Parameters'!$A$5:$A$104=D236)*('Normal Parameters'!$B$5:$B$104=E236)*('Normal Parameters'!$C$5:$C$104="Behavior Score"),0)),99),F236&lt;IFERROR(INDEX('Normal Parameters'!$E$5:$E$104,MATCH(1,('Normal Parameters'!$A$5:$A$104=D236)*('Normal Parameters'!$B$5:$B$104=E236)*('Normal Parameters'!$C$5:$C$104="Weight"),0)),0),F236&gt;IFERROR(INDEX('Normal Parameters'!$G$5:$G$104,MATCH(1,('Normal Parameters'!$A$5:$A$104=D236)*('Normal Parameters'!$B$5:$B$104=E236)*('Normal Parameters'!$C$5:$C$104="Weight"),0)),9999),I236&lt;IFERROR(INDEX('Normal Parameters'!$E$5:$E$104,MATCH(1,('Normal Parameters'!$A$5:$A$104=D236)*('Normal Parameters'!$B$5:$B$104=E236)*('Normal Parameters'!$C$5:$C$104="Temperature"),0)),0),I236&gt;IFERROR(INDEX('Normal Parameters'!$G$5:$G$104,MATCH(1,('Normal Parameters'!$A$5:$A$104=D236)*('Normal Parameters'!$B$5:$B$104=E236)*('Normal Parameters'!$C$5:$C$104="Temperature"),0)),9999)),"Check","Normal"))</x:f>
      </x:c>
    </x:row>
    <x:row r="237" ht="15" hidden="0" customHeight="1">
      <x:c r="A237" s="74"/>
      <x:c r="B237" s="46"/>
      <x:c r="C237" s="46"/>
      <x:c r="D237" s="46" t="str">
        <x:f>IFERROR(XLOOKUP(C237,'Animals'!$A$5:$A$104,'Animals'!$C$5:$C$104,""),"")</x:f>
      </x:c>
      <x:c r="E237" s="46" t="str">
        <x:f>IFERROR(XLOOKUP(C237,'Animals'!$A$5:$A$104,'Animals'!$H$5:$H$104,""),"")</x:f>
      </x:c>
      <x:c r="F237" s="71"/>
      <x:c r="G237" s="71"/>
      <x:c r="H237" s="71"/>
      <x:c r="I237" s="71"/>
      <x:c r="J237" s="71"/>
      <x:c r="K237" s="46"/>
      <x:c r="L237" s="46"/>
      <x:c r="M237" s="46"/>
      <x:c r="N237" s="46"/>
      <x:c r="O237" s="46"/>
      <x:c r="P237" s="46"/>
      <x:c r="Q237" s="47" t="str">
        <x:f>IF(C237="","",IF(OR(J237&gt;IFERROR(INDEX('Normal Parameters'!$G$5:$G$104,MATCH(1,('Normal Parameters'!$A$5:$A$104=D237)*('Normal Parameters'!$B$5:$B$104=E237)*('Normal Parameters'!$C$5:$C$104="Behavior Score"),0)),99),F237&lt;IFERROR(INDEX('Normal Parameters'!$E$5:$E$104,MATCH(1,('Normal Parameters'!$A$5:$A$104=D237)*('Normal Parameters'!$B$5:$B$104=E237)*('Normal Parameters'!$C$5:$C$104="Weight"),0)),0),F237&gt;IFERROR(INDEX('Normal Parameters'!$G$5:$G$104,MATCH(1,('Normal Parameters'!$A$5:$A$104=D237)*('Normal Parameters'!$B$5:$B$104=E237)*('Normal Parameters'!$C$5:$C$104="Weight"),0)),9999),I237&lt;IFERROR(INDEX('Normal Parameters'!$E$5:$E$104,MATCH(1,('Normal Parameters'!$A$5:$A$104=D237)*('Normal Parameters'!$B$5:$B$104=E237)*('Normal Parameters'!$C$5:$C$104="Temperature"),0)),0),I237&gt;IFERROR(INDEX('Normal Parameters'!$G$5:$G$104,MATCH(1,('Normal Parameters'!$A$5:$A$104=D237)*('Normal Parameters'!$B$5:$B$104=E237)*('Normal Parameters'!$C$5:$C$104="Temperature"),0)),9999)),"Check","Normal"))</x:f>
      </x:c>
    </x:row>
    <x:row r="238" ht="15" hidden="0" customHeight="1">
      <x:c r="A238" s="74"/>
      <x:c r="B238" s="46"/>
      <x:c r="C238" s="46"/>
      <x:c r="D238" s="46" t="str">
        <x:f>IFERROR(XLOOKUP(C238,'Animals'!$A$5:$A$104,'Animals'!$C$5:$C$104,""),"")</x:f>
      </x:c>
      <x:c r="E238" s="46" t="str">
        <x:f>IFERROR(XLOOKUP(C238,'Animals'!$A$5:$A$104,'Animals'!$H$5:$H$104,""),"")</x:f>
      </x:c>
      <x:c r="F238" s="71"/>
      <x:c r="G238" s="71"/>
      <x:c r="H238" s="71"/>
      <x:c r="I238" s="71"/>
      <x:c r="J238" s="71"/>
      <x:c r="K238" s="46"/>
      <x:c r="L238" s="46"/>
      <x:c r="M238" s="46"/>
      <x:c r="N238" s="46"/>
      <x:c r="O238" s="46"/>
      <x:c r="P238" s="46"/>
      <x:c r="Q238" s="47" t="str">
        <x:f>IF(C238="","",IF(OR(J238&gt;IFERROR(INDEX('Normal Parameters'!$G$5:$G$104,MATCH(1,('Normal Parameters'!$A$5:$A$104=D238)*('Normal Parameters'!$B$5:$B$104=E238)*('Normal Parameters'!$C$5:$C$104="Behavior Score"),0)),99),F238&lt;IFERROR(INDEX('Normal Parameters'!$E$5:$E$104,MATCH(1,('Normal Parameters'!$A$5:$A$104=D238)*('Normal Parameters'!$B$5:$B$104=E238)*('Normal Parameters'!$C$5:$C$104="Weight"),0)),0),F238&gt;IFERROR(INDEX('Normal Parameters'!$G$5:$G$104,MATCH(1,('Normal Parameters'!$A$5:$A$104=D238)*('Normal Parameters'!$B$5:$B$104=E238)*('Normal Parameters'!$C$5:$C$104="Weight"),0)),9999),I238&lt;IFERROR(INDEX('Normal Parameters'!$E$5:$E$104,MATCH(1,('Normal Parameters'!$A$5:$A$104=D238)*('Normal Parameters'!$B$5:$B$104=E238)*('Normal Parameters'!$C$5:$C$104="Temperature"),0)),0),I238&gt;IFERROR(INDEX('Normal Parameters'!$G$5:$G$104,MATCH(1,('Normal Parameters'!$A$5:$A$104=D238)*('Normal Parameters'!$B$5:$B$104=E238)*('Normal Parameters'!$C$5:$C$104="Temperature"),0)),9999)),"Check","Normal"))</x:f>
      </x:c>
    </x:row>
    <x:row r="239" ht="15" hidden="0" customHeight="1">
      <x:c r="A239" s="74"/>
      <x:c r="B239" s="46"/>
      <x:c r="C239" s="46"/>
      <x:c r="D239" s="46" t="str">
        <x:f>IFERROR(XLOOKUP(C239,'Animals'!$A$5:$A$104,'Animals'!$C$5:$C$104,""),"")</x:f>
      </x:c>
      <x:c r="E239" s="46" t="str">
        <x:f>IFERROR(XLOOKUP(C239,'Animals'!$A$5:$A$104,'Animals'!$H$5:$H$104,""),"")</x:f>
      </x:c>
      <x:c r="F239" s="71"/>
      <x:c r="G239" s="71"/>
      <x:c r="H239" s="71"/>
      <x:c r="I239" s="71"/>
      <x:c r="J239" s="71"/>
      <x:c r="K239" s="46"/>
      <x:c r="L239" s="46"/>
      <x:c r="M239" s="46"/>
      <x:c r="N239" s="46"/>
      <x:c r="O239" s="46"/>
      <x:c r="P239" s="46"/>
      <x:c r="Q239" s="47" t="str">
        <x:f>IF(C239="","",IF(OR(J239&gt;IFERROR(INDEX('Normal Parameters'!$G$5:$G$104,MATCH(1,('Normal Parameters'!$A$5:$A$104=D239)*('Normal Parameters'!$B$5:$B$104=E239)*('Normal Parameters'!$C$5:$C$104="Behavior Score"),0)),99),F239&lt;IFERROR(INDEX('Normal Parameters'!$E$5:$E$104,MATCH(1,('Normal Parameters'!$A$5:$A$104=D239)*('Normal Parameters'!$B$5:$B$104=E239)*('Normal Parameters'!$C$5:$C$104="Weight"),0)),0),F239&gt;IFERROR(INDEX('Normal Parameters'!$G$5:$G$104,MATCH(1,('Normal Parameters'!$A$5:$A$104=D239)*('Normal Parameters'!$B$5:$B$104=E239)*('Normal Parameters'!$C$5:$C$104="Weight"),0)),9999),I239&lt;IFERROR(INDEX('Normal Parameters'!$E$5:$E$104,MATCH(1,('Normal Parameters'!$A$5:$A$104=D239)*('Normal Parameters'!$B$5:$B$104=E239)*('Normal Parameters'!$C$5:$C$104="Temperature"),0)),0),I239&gt;IFERROR(INDEX('Normal Parameters'!$G$5:$G$104,MATCH(1,('Normal Parameters'!$A$5:$A$104=D239)*('Normal Parameters'!$B$5:$B$104=E239)*('Normal Parameters'!$C$5:$C$104="Temperature"),0)),9999)),"Check","Normal"))</x:f>
      </x:c>
    </x:row>
    <x:row r="240" ht="15" hidden="0" customHeight="1">
      <x:c r="A240" s="74"/>
      <x:c r="B240" s="46"/>
      <x:c r="C240" s="46"/>
      <x:c r="D240" s="46" t="str">
        <x:f>IFERROR(XLOOKUP(C240,'Animals'!$A$5:$A$104,'Animals'!$C$5:$C$104,""),"")</x:f>
      </x:c>
      <x:c r="E240" s="46" t="str">
        <x:f>IFERROR(XLOOKUP(C240,'Animals'!$A$5:$A$104,'Animals'!$H$5:$H$104,""),"")</x:f>
      </x:c>
      <x:c r="F240" s="71"/>
      <x:c r="G240" s="71"/>
      <x:c r="H240" s="71"/>
      <x:c r="I240" s="71"/>
      <x:c r="J240" s="71"/>
      <x:c r="K240" s="46"/>
      <x:c r="L240" s="46"/>
      <x:c r="M240" s="46"/>
      <x:c r="N240" s="46"/>
      <x:c r="O240" s="46"/>
      <x:c r="P240" s="46"/>
      <x:c r="Q240" s="47" t="str">
        <x:f>IF(C240="","",IF(OR(J240&gt;IFERROR(INDEX('Normal Parameters'!$G$5:$G$104,MATCH(1,('Normal Parameters'!$A$5:$A$104=D240)*('Normal Parameters'!$B$5:$B$104=E240)*('Normal Parameters'!$C$5:$C$104="Behavior Score"),0)),99),F240&lt;IFERROR(INDEX('Normal Parameters'!$E$5:$E$104,MATCH(1,('Normal Parameters'!$A$5:$A$104=D240)*('Normal Parameters'!$B$5:$B$104=E240)*('Normal Parameters'!$C$5:$C$104="Weight"),0)),0),F240&gt;IFERROR(INDEX('Normal Parameters'!$G$5:$G$104,MATCH(1,('Normal Parameters'!$A$5:$A$104=D240)*('Normal Parameters'!$B$5:$B$104=E240)*('Normal Parameters'!$C$5:$C$104="Weight"),0)),9999),I240&lt;IFERROR(INDEX('Normal Parameters'!$E$5:$E$104,MATCH(1,('Normal Parameters'!$A$5:$A$104=D240)*('Normal Parameters'!$B$5:$B$104=E240)*('Normal Parameters'!$C$5:$C$104="Temperature"),0)),0),I240&gt;IFERROR(INDEX('Normal Parameters'!$G$5:$G$104,MATCH(1,('Normal Parameters'!$A$5:$A$104=D240)*('Normal Parameters'!$B$5:$B$104=E240)*('Normal Parameters'!$C$5:$C$104="Temperature"),0)),9999)),"Check","Normal"))</x:f>
      </x:c>
    </x:row>
    <x:row r="241" ht="15" hidden="0" customHeight="1">
      <x:c r="A241" s="74"/>
      <x:c r="B241" s="46"/>
      <x:c r="C241" s="46"/>
      <x:c r="D241" s="46" t="str">
        <x:f>IFERROR(XLOOKUP(C241,'Animals'!$A$5:$A$104,'Animals'!$C$5:$C$104,""),"")</x:f>
      </x:c>
      <x:c r="E241" s="46" t="str">
        <x:f>IFERROR(XLOOKUP(C241,'Animals'!$A$5:$A$104,'Animals'!$H$5:$H$104,""),"")</x:f>
      </x:c>
      <x:c r="F241" s="71"/>
      <x:c r="G241" s="71"/>
      <x:c r="H241" s="71"/>
      <x:c r="I241" s="71"/>
      <x:c r="J241" s="71"/>
      <x:c r="K241" s="46"/>
      <x:c r="L241" s="46"/>
      <x:c r="M241" s="46"/>
      <x:c r="N241" s="46"/>
      <x:c r="O241" s="46"/>
      <x:c r="P241" s="46"/>
      <x:c r="Q241" s="47" t="str">
        <x:f>IF(C241="","",IF(OR(J241&gt;IFERROR(INDEX('Normal Parameters'!$G$5:$G$104,MATCH(1,('Normal Parameters'!$A$5:$A$104=D241)*('Normal Parameters'!$B$5:$B$104=E241)*('Normal Parameters'!$C$5:$C$104="Behavior Score"),0)),99),F241&lt;IFERROR(INDEX('Normal Parameters'!$E$5:$E$104,MATCH(1,('Normal Parameters'!$A$5:$A$104=D241)*('Normal Parameters'!$B$5:$B$104=E241)*('Normal Parameters'!$C$5:$C$104="Weight"),0)),0),F241&gt;IFERROR(INDEX('Normal Parameters'!$G$5:$G$104,MATCH(1,('Normal Parameters'!$A$5:$A$104=D241)*('Normal Parameters'!$B$5:$B$104=E241)*('Normal Parameters'!$C$5:$C$104="Weight"),0)),9999),I241&lt;IFERROR(INDEX('Normal Parameters'!$E$5:$E$104,MATCH(1,('Normal Parameters'!$A$5:$A$104=D241)*('Normal Parameters'!$B$5:$B$104=E241)*('Normal Parameters'!$C$5:$C$104="Temperature"),0)),0),I241&gt;IFERROR(INDEX('Normal Parameters'!$G$5:$G$104,MATCH(1,('Normal Parameters'!$A$5:$A$104=D241)*('Normal Parameters'!$B$5:$B$104=E241)*('Normal Parameters'!$C$5:$C$104="Temperature"),0)),9999)),"Check","Normal"))</x:f>
      </x:c>
    </x:row>
    <x:row r="242" ht="15" hidden="0" customHeight="1">
      <x:c r="A242" s="74"/>
      <x:c r="B242" s="46"/>
      <x:c r="C242" s="46"/>
      <x:c r="D242" s="46" t="str">
        <x:f>IFERROR(XLOOKUP(C242,'Animals'!$A$5:$A$104,'Animals'!$C$5:$C$104,""),"")</x:f>
      </x:c>
      <x:c r="E242" s="46" t="str">
        <x:f>IFERROR(XLOOKUP(C242,'Animals'!$A$5:$A$104,'Animals'!$H$5:$H$104,""),"")</x:f>
      </x:c>
      <x:c r="F242" s="71"/>
      <x:c r="G242" s="71"/>
      <x:c r="H242" s="71"/>
      <x:c r="I242" s="71"/>
      <x:c r="J242" s="71"/>
      <x:c r="K242" s="46"/>
      <x:c r="L242" s="46"/>
      <x:c r="M242" s="46"/>
      <x:c r="N242" s="46"/>
      <x:c r="O242" s="46"/>
      <x:c r="P242" s="46"/>
      <x:c r="Q242" s="47" t="str">
        <x:f>IF(C242="","",IF(OR(J242&gt;IFERROR(INDEX('Normal Parameters'!$G$5:$G$104,MATCH(1,('Normal Parameters'!$A$5:$A$104=D242)*('Normal Parameters'!$B$5:$B$104=E242)*('Normal Parameters'!$C$5:$C$104="Behavior Score"),0)),99),F242&lt;IFERROR(INDEX('Normal Parameters'!$E$5:$E$104,MATCH(1,('Normal Parameters'!$A$5:$A$104=D242)*('Normal Parameters'!$B$5:$B$104=E242)*('Normal Parameters'!$C$5:$C$104="Weight"),0)),0),F242&gt;IFERROR(INDEX('Normal Parameters'!$G$5:$G$104,MATCH(1,('Normal Parameters'!$A$5:$A$104=D242)*('Normal Parameters'!$B$5:$B$104=E242)*('Normal Parameters'!$C$5:$C$104="Weight"),0)),9999),I242&lt;IFERROR(INDEX('Normal Parameters'!$E$5:$E$104,MATCH(1,('Normal Parameters'!$A$5:$A$104=D242)*('Normal Parameters'!$B$5:$B$104=E242)*('Normal Parameters'!$C$5:$C$104="Temperature"),0)),0),I242&gt;IFERROR(INDEX('Normal Parameters'!$G$5:$G$104,MATCH(1,('Normal Parameters'!$A$5:$A$104=D242)*('Normal Parameters'!$B$5:$B$104=E242)*('Normal Parameters'!$C$5:$C$104="Temperature"),0)),9999)),"Check","Normal"))</x:f>
      </x:c>
    </x:row>
    <x:row r="243" ht="15" hidden="0" customHeight="1">
      <x:c r="A243" s="74"/>
      <x:c r="B243" s="46"/>
      <x:c r="C243" s="46"/>
      <x:c r="D243" s="46" t="str">
        <x:f>IFERROR(XLOOKUP(C243,'Animals'!$A$5:$A$104,'Animals'!$C$5:$C$104,""),"")</x:f>
      </x:c>
      <x:c r="E243" s="46" t="str">
        <x:f>IFERROR(XLOOKUP(C243,'Animals'!$A$5:$A$104,'Animals'!$H$5:$H$104,""),"")</x:f>
      </x:c>
      <x:c r="F243" s="71"/>
      <x:c r="G243" s="71"/>
      <x:c r="H243" s="71"/>
      <x:c r="I243" s="71"/>
      <x:c r="J243" s="71"/>
      <x:c r="K243" s="46"/>
      <x:c r="L243" s="46"/>
      <x:c r="M243" s="46"/>
      <x:c r="N243" s="46"/>
      <x:c r="O243" s="46"/>
      <x:c r="P243" s="46"/>
      <x:c r="Q243" s="47" t="str">
        <x:f>IF(C243="","",IF(OR(J243&gt;IFERROR(INDEX('Normal Parameters'!$G$5:$G$104,MATCH(1,('Normal Parameters'!$A$5:$A$104=D243)*('Normal Parameters'!$B$5:$B$104=E243)*('Normal Parameters'!$C$5:$C$104="Behavior Score"),0)),99),F243&lt;IFERROR(INDEX('Normal Parameters'!$E$5:$E$104,MATCH(1,('Normal Parameters'!$A$5:$A$104=D243)*('Normal Parameters'!$B$5:$B$104=E243)*('Normal Parameters'!$C$5:$C$104="Weight"),0)),0),F243&gt;IFERROR(INDEX('Normal Parameters'!$G$5:$G$104,MATCH(1,('Normal Parameters'!$A$5:$A$104=D243)*('Normal Parameters'!$B$5:$B$104=E243)*('Normal Parameters'!$C$5:$C$104="Weight"),0)),9999),I243&lt;IFERROR(INDEX('Normal Parameters'!$E$5:$E$104,MATCH(1,('Normal Parameters'!$A$5:$A$104=D243)*('Normal Parameters'!$B$5:$B$104=E243)*('Normal Parameters'!$C$5:$C$104="Temperature"),0)),0),I243&gt;IFERROR(INDEX('Normal Parameters'!$G$5:$G$104,MATCH(1,('Normal Parameters'!$A$5:$A$104=D243)*('Normal Parameters'!$B$5:$B$104=E243)*('Normal Parameters'!$C$5:$C$104="Temperature"),0)),9999)),"Check","Normal"))</x:f>
      </x:c>
    </x:row>
    <x:row r="244" ht="15" hidden="0" customHeight="1">
      <x:c r="A244" s="74"/>
      <x:c r="B244" s="46"/>
      <x:c r="C244" s="46"/>
      <x:c r="D244" s="46" t="str">
        <x:f>IFERROR(XLOOKUP(C244,'Animals'!$A$5:$A$104,'Animals'!$C$5:$C$104,""),"")</x:f>
      </x:c>
      <x:c r="E244" s="46" t="str">
        <x:f>IFERROR(XLOOKUP(C244,'Animals'!$A$5:$A$104,'Animals'!$H$5:$H$104,""),"")</x:f>
      </x:c>
      <x:c r="F244" s="71"/>
      <x:c r="G244" s="71"/>
      <x:c r="H244" s="71"/>
      <x:c r="I244" s="71"/>
      <x:c r="J244" s="71"/>
      <x:c r="K244" s="46"/>
      <x:c r="L244" s="46"/>
      <x:c r="M244" s="46"/>
      <x:c r="N244" s="46"/>
      <x:c r="O244" s="46"/>
      <x:c r="P244" s="46"/>
      <x:c r="Q244" s="47" t="str">
        <x:f>IF(C244="","",IF(OR(J244&gt;IFERROR(INDEX('Normal Parameters'!$G$5:$G$104,MATCH(1,('Normal Parameters'!$A$5:$A$104=D244)*('Normal Parameters'!$B$5:$B$104=E244)*('Normal Parameters'!$C$5:$C$104="Behavior Score"),0)),99),F244&lt;IFERROR(INDEX('Normal Parameters'!$E$5:$E$104,MATCH(1,('Normal Parameters'!$A$5:$A$104=D244)*('Normal Parameters'!$B$5:$B$104=E244)*('Normal Parameters'!$C$5:$C$104="Weight"),0)),0),F244&gt;IFERROR(INDEX('Normal Parameters'!$G$5:$G$104,MATCH(1,('Normal Parameters'!$A$5:$A$104=D244)*('Normal Parameters'!$B$5:$B$104=E244)*('Normal Parameters'!$C$5:$C$104="Weight"),0)),9999),I244&lt;IFERROR(INDEX('Normal Parameters'!$E$5:$E$104,MATCH(1,('Normal Parameters'!$A$5:$A$104=D244)*('Normal Parameters'!$B$5:$B$104=E244)*('Normal Parameters'!$C$5:$C$104="Temperature"),0)),0),I244&gt;IFERROR(INDEX('Normal Parameters'!$G$5:$G$104,MATCH(1,('Normal Parameters'!$A$5:$A$104=D244)*('Normal Parameters'!$B$5:$B$104=E244)*('Normal Parameters'!$C$5:$C$104="Temperature"),0)),9999)),"Check","Normal"))</x:f>
      </x:c>
    </x:row>
    <x:row r="245" ht="15" hidden="0" customHeight="1">
      <x:c r="A245" s="74"/>
      <x:c r="B245" s="46"/>
      <x:c r="C245" s="46"/>
      <x:c r="D245" s="46" t="str">
        <x:f>IFERROR(XLOOKUP(C245,'Animals'!$A$5:$A$104,'Animals'!$C$5:$C$104,""),"")</x:f>
      </x:c>
      <x:c r="E245" s="46" t="str">
        <x:f>IFERROR(XLOOKUP(C245,'Animals'!$A$5:$A$104,'Animals'!$H$5:$H$104,""),"")</x:f>
      </x:c>
      <x:c r="F245" s="71"/>
      <x:c r="G245" s="71"/>
      <x:c r="H245" s="71"/>
      <x:c r="I245" s="71"/>
      <x:c r="J245" s="71"/>
      <x:c r="K245" s="46"/>
      <x:c r="L245" s="46"/>
      <x:c r="M245" s="46"/>
      <x:c r="N245" s="46"/>
      <x:c r="O245" s="46"/>
      <x:c r="P245" s="46"/>
      <x:c r="Q245" s="47" t="str">
        <x:f>IF(C245="","",IF(OR(J245&gt;IFERROR(INDEX('Normal Parameters'!$G$5:$G$104,MATCH(1,('Normal Parameters'!$A$5:$A$104=D245)*('Normal Parameters'!$B$5:$B$104=E245)*('Normal Parameters'!$C$5:$C$104="Behavior Score"),0)),99),F245&lt;IFERROR(INDEX('Normal Parameters'!$E$5:$E$104,MATCH(1,('Normal Parameters'!$A$5:$A$104=D245)*('Normal Parameters'!$B$5:$B$104=E245)*('Normal Parameters'!$C$5:$C$104="Weight"),0)),0),F245&gt;IFERROR(INDEX('Normal Parameters'!$G$5:$G$104,MATCH(1,('Normal Parameters'!$A$5:$A$104=D245)*('Normal Parameters'!$B$5:$B$104=E245)*('Normal Parameters'!$C$5:$C$104="Weight"),0)),9999),I245&lt;IFERROR(INDEX('Normal Parameters'!$E$5:$E$104,MATCH(1,('Normal Parameters'!$A$5:$A$104=D245)*('Normal Parameters'!$B$5:$B$104=E245)*('Normal Parameters'!$C$5:$C$104="Temperature"),0)),0),I245&gt;IFERROR(INDEX('Normal Parameters'!$G$5:$G$104,MATCH(1,('Normal Parameters'!$A$5:$A$104=D245)*('Normal Parameters'!$B$5:$B$104=E245)*('Normal Parameters'!$C$5:$C$104="Temperature"),0)),9999)),"Check","Normal"))</x:f>
      </x:c>
    </x:row>
    <x:row r="246" ht="15" hidden="0" customHeight="1">
      <x:c r="A246" s="74"/>
      <x:c r="B246" s="46"/>
      <x:c r="C246" s="46"/>
      <x:c r="D246" s="46" t="str">
        <x:f>IFERROR(XLOOKUP(C246,'Animals'!$A$5:$A$104,'Animals'!$C$5:$C$104,""),"")</x:f>
      </x:c>
      <x:c r="E246" s="46" t="str">
        <x:f>IFERROR(XLOOKUP(C246,'Animals'!$A$5:$A$104,'Animals'!$H$5:$H$104,""),"")</x:f>
      </x:c>
      <x:c r="F246" s="71"/>
      <x:c r="G246" s="71"/>
      <x:c r="H246" s="71"/>
      <x:c r="I246" s="71"/>
      <x:c r="J246" s="71"/>
      <x:c r="K246" s="46"/>
      <x:c r="L246" s="46"/>
      <x:c r="M246" s="46"/>
      <x:c r="N246" s="46"/>
      <x:c r="O246" s="46"/>
      <x:c r="P246" s="46"/>
      <x:c r="Q246" s="47" t="str">
        <x:f>IF(C246="","",IF(OR(J246&gt;IFERROR(INDEX('Normal Parameters'!$G$5:$G$104,MATCH(1,('Normal Parameters'!$A$5:$A$104=D246)*('Normal Parameters'!$B$5:$B$104=E246)*('Normal Parameters'!$C$5:$C$104="Behavior Score"),0)),99),F246&lt;IFERROR(INDEX('Normal Parameters'!$E$5:$E$104,MATCH(1,('Normal Parameters'!$A$5:$A$104=D246)*('Normal Parameters'!$B$5:$B$104=E246)*('Normal Parameters'!$C$5:$C$104="Weight"),0)),0),F246&gt;IFERROR(INDEX('Normal Parameters'!$G$5:$G$104,MATCH(1,('Normal Parameters'!$A$5:$A$104=D246)*('Normal Parameters'!$B$5:$B$104=E246)*('Normal Parameters'!$C$5:$C$104="Weight"),0)),9999),I246&lt;IFERROR(INDEX('Normal Parameters'!$E$5:$E$104,MATCH(1,('Normal Parameters'!$A$5:$A$104=D246)*('Normal Parameters'!$B$5:$B$104=E246)*('Normal Parameters'!$C$5:$C$104="Temperature"),0)),0),I246&gt;IFERROR(INDEX('Normal Parameters'!$G$5:$G$104,MATCH(1,('Normal Parameters'!$A$5:$A$104=D246)*('Normal Parameters'!$B$5:$B$104=E246)*('Normal Parameters'!$C$5:$C$104="Temperature"),0)),9999)),"Check","Normal"))</x:f>
      </x:c>
    </x:row>
    <x:row r="247" ht="15" hidden="0" customHeight="1">
      <x:c r="A247" s="74"/>
      <x:c r="B247" s="46"/>
      <x:c r="C247" s="46"/>
      <x:c r="D247" s="46" t="str">
        <x:f>IFERROR(XLOOKUP(C247,'Animals'!$A$5:$A$104,'Animals'!$C$5:$C$104,""),"")</x:f>
      </x:c>
      <x:c r="E247" s="46" t="str">
        <x:f>IFERROR(XLOOKUP(C247,'Animals'!$A$5:$A$104,'Animals'!$H$5:$H$104,""),"")</x:f>
      </x:c>
      <x:c r="F247" s="71"/>
      <x:c r="G247" s="71"/>
      <x:c r="H247" s="71"/>
      <x:c r="I247" s="71"/>
      <x:c r="J247" s="71"/>
      <x:c r="K247" s="46"/>
      <x:c r="L247" s="46"/>
      <x:c r="M247" s="46"/>
      <x:c r="N247" s="46"/>
      <x:c r="O247" s="46"/>
      <x:c r="P247" s="46"/>
      <x:c r="Q247" s="47" t="str">
        <x:f>IF(C247="","",IF(OR(J247&gt;IFERROR(INDEX('Normal Parameters'!$G$5:$G$104,MATCH(1,('Normal Parameters'!$A$5:$A$104=D247)*('Normal Parameters'!$B$5:$B$104=E247)*('Normal Parameters'!$C$5:$C$104="Behavior Score"),0)),99),F247&lt;IFERROR(INDEX('Normal Parameters'!$E$5:$E$104,MATCH(1,('Normal Parameters'!$A$5:$A$104=D247)*('Normal Parameters'!$B$5:$B$104=E247)*('Normal Parameters'!$C$5:$C$104="Weight"),0)),0),F247&gt;IFERROR(INDEX('Normal Parameters'!$G$5:$G$104,MATCH(1,('Normal Parameters'!$A$5:$A$104=D247)*('Normal Parameters'!$B$5:$B$104=E247)*('Normal Parameters'!$C$5:$C$104="Weight"),0)),9999),I247&lt;IFERROR(INDEX('Normal Parameters'!$E$5:$E$104,MATCH(1,('Normal Parameters'!$A$5:$A$104=D247)*('Normal Parameters'!$B$5:$B$104=E247)*('Normal Parameters'!$C$5:$C$104="Temperature"),0)),0),I247&gt;IFERROR(INDEX('Normal Parameters'!$G$5:$G$104,MATCH(1,('Normal Parameters'!$A$5:$A$104=D247)*('Normal Parameters'!$B$5:$B$104=E247)*('Normal Parameters'!$C$5:$C$104="Temperature"),0)),9999)),"Check","Normal"))</x:f>
      </x:c>
    </x:row>
    <x:row r="248" ht="15" hidden="0" customHeight="1">
      <x:c r="A248" s="74"/>
      <x:c r="B248" s="46"/>
      <x:c r="C248" s="46"/>
      <x:c r="D248" s="46" t="str">
        <x:f>IFERROR(XLOOKUP(C248,'Animals'!$A$5:$A$104,'Animals'!$C$5:$C$104,""),"")</x:f>
      </x:c>
      <x:c r="E248" s="46" t="str">
        <x:f>IFERROR(XLOOKUP(C248,'Animals'!$A$5:$A$104,'Animals'!$H$5:$H$104,""),"")</x:f>
      </x:c>
      <x:c r="F248" s="71"/>
      <x:c r="G248" s="71"/>
      <x:c r="H248" s="71"/>
      <x:c r="I248" s="71"/>
      <x:c r="J248" s="71"/>
      <x:c r="K248" s="46"/>
      <x:c r="L248" s="46"/>
      <x:c r="M248" s="46"/>
      <x:c r="N248" s="46"/>
      <x:c r="O248" s="46"/>
      <x:c r="P248" s="46"/>
      <x:c r="Q248" s="47" t="str">
        <x:f>IF(C248="","",IF(OR(J248&gt;IFERROR(INDEX('Normal Parameters'!$G$5:$G$104,MATCH(1,('Normal Parameters'!$A$5:$A$104=D248)*('Normal Parameters'!$B$5:$B$104=E248)*('Normal Parameters'!$C$5:$C$104="Behavior Score"),0)),99),F248&lt;IFERROR(INDEX('Normal Parameters'!$E$5:$E$104,MATCH(1,('Normal Parameters'!$A$5:$A$104=D248)*('Normal Parameters'!$B$5:$B$104=E248)*('Normal Parameters'!$C$5:$C$104="Weight"),0)),0),F248&gt;IFERROR(INDEX('Normal Parameters'!$G$5:$G$104,MATCH(1,('Normal Parameters'!$A$5:$A$104=D248)*('Normal Parameters'!$B$5:$B$104=E248)*('Normal Parameters'!$C$5:$C$104="Weight"),0)),9999),I248&lt;IFERROR(INDEX('Normal Parameters'!$E$5:$E$104,MATCH(1,('Normal Parameters'!$A$5:$A$104=D248)*('Normal Parameters'!$B$5:$B$104=E248)*('Normal Parameters'!$C$5:$C$104="Temperature"),0)),0),I248&gt;IFERROR(INDEX('Normal Parameters'!$G$5:$G$104,MATCH(1,('Normal Parameters'!$A$5:$A$104=D248)*('Normal Parameters'!$B$5:$B$104=E248)*('Normal Parameters'!$C$5:$C$104="Temperature"),0)),9999)),"Check","Normal"))</x:f>
      </x:c>
    </x:row>
    <x:row r="249" ht="15" hidden="0" customHeight="1">
      <x:c r="A249" s="74"/>
      <x:c r="B249" s="46"/>
      <x:c r="C249" s="46"/>
      <x:c r="D249" s="46" t="str">
        <x:f>IFERROR(XLOOKUP(C249,'Animals'!$A$5:$A$104,'Animals'!$C$5:$C$104,""),"")</x:f>
      </x:c>
      <x:c r="E249" s="46" t="str">
        <x:f>IFERROR(XLOOKUP(C249,'Animals'!$A$5:$A$104,'Animals'!$H$5:$H$104,""),"")</x:f>
      </x:c>
      <x:c r="F249" s="71"/>
      <x:c r="G249" s="71"/>
      <x:c r="H249" s="71"/>
      <x:c r="I249" s="71"/>
      <x:c r="J249" s="71"/>
      <x:c r="K249" s="46"/>
      <x:c r="L249" s="46"/>
      <x:c r="M249" s="46"/>
      <x:c r="N249" s="46"/>
      <x:c r="O249" s="46"/>
      <x:c r="P249" s="46"/>
      <x:c r="Q249" s="47" t="str">
        <x:f>IF(C249="","",IF(OR(J249&gt;IFERROR(INDEX('Normal Parameters'!$G$5:$G$104,MATCH(1,('Normal Parameters'!$A$5:$A$104=D249)*('Normal Parameters'!$B$5:$B$104=E249)*('Normal Parameters'!$C$5:$C$104="Behavior Score"),0)),99),F249&lt;IFERROR(INDEX('Normal Parameters'!$E$5:$E$104,MATCH(1,('Normal Parameters'!$A$5:$A$104=D249)*('Normal Parameters'!$B$5:$B$104=E249)*('Normal Parameters'!$C$5:$C$104="Weight"),0)),0),F249&gt;IFERROR(INDEX('Normal Parameters'!$G$5:$G$104,MATCH(1,('Normal Parameters'!$A$5:$A$104=D249)*('Normal Parameters'!$B$5:$B$104=E249)*('Normal Parameters'!$C$5:$C$104="Weight"),0)),9999),I249&lt;IFERROR(INDEX('Normal Parameters'!$E$5:$E$104,MATCH(1,('Normal Parameters'!$A$5:$A$104=D249)*('Normal Parameters'!$B$5:$B$104=E249)*('Normal Parameters'!$C$5:$C$104="Temperature"),0)),0),I249&gt;IFERROR(INDEX('Normal Parameters'!$G$5:$G$104,MATCH(1,('Normal Parameters'!$A$5:$A$104=D249)*('Normal Parameters'!$B$5:$B$104=E249)*('Normal Parameters'!$C$5:$C$104="Temperature"),0)),9999)),"Check","Normal"))</x:f>
      </x:c>
    </x:row>
    <x:row r="250" ht="15" hidden="0" customHeight="1">
      <x:c r="A250" s="74"/>
      <x:c r="B250" s="46"/>
      <x:c r="C250" s="46"/>
      <x:c r="D250" s="46" t="str">
        <x:f>IFERROR(XLOOKUP(C250,'Animals'!$A$5:$A$104,'Animals'!$C$5:$C$104,""),"")</x:f>
      </x:c>
      <x:c r="E250" s="46" t="str">
        <x:f>IFERROR(XLOOKUP(C250,'Animals'!$A$5:$A$104,'Animals'!$H$5:$H$104,""),"")</x:f>
      </x:c>
      <x:c r="F250" s="71"/>
      <x:c r="G250" s="71"/>
      <x:c r="H250" s="71"/>
      <x:c r="I250" s="71"/>
      <x:c r="J250" s="71"/>
      <x:c r="K250" s="46"/>
      <x:c r="L250" s="46"/>
      <x:c r="M250" s="46"/>
      <x:c r="N250" s="46"/>
      <x:c r="O250" s="46"/>
      <x:c r="P250" s="46"/>
      <x:c r="Q250" s="47" t="str">
        <x:f>IF(C250="","",IF(OR(J250&gt;IFERROR(INDEX('Normal Parameters'!$G$5:$G$104,MATCH(1,('Normal Parameters'!$A$5:$A$104=D250)*('Normal Parameters'!$B$5:$B$104=E250)*('Normal Parameters'!$C$5:$C$104="Behavior Score"),0)),99),F250&lt;IFERROR(INDEX('Normal Parameters'!$E$5:$E$104,MATCH(1,('Normal Parameters'!$A$5:$A$104=D250)*('Normal Parameters'!$B$5:$B$104=E250)*('Normal Parameters'!$C$5:$C$104="Weight"),0)),0),F250&gt;IFERROR(INDEX('Normal Parameters'!$G$5:$G$104,MATCH(1,('Normal Parameters'!$A$5:$A$104=D250)*('Normal Parameters'!$B$5:$B$104=E250)*('Normal Parameters'!$C$5:$C$104="Weight"),0)),9999),I250&lt;IFERROR(INDEX('Normal Parameters'!$E$5:$E$104,MATCH(1,('Normal Parameters'!$A$5:$A$104=D250)*('Normal Parameters'!$B$5:$B$104=E250)*('Normal Parameters'!$C$5:$C$104="Temperature"),0)),0),I250&gt;IFERROR(INDEX('Normal Parameters'!$G$5:$G$104,MATCH(1,('Normal Parameters'!$A$5:$A$104=D250)*('Normal Parameters'!$B$5:$B$104=E250)*('Normal Parameters'!$C$5:$C$104="Temperature"),0)),9999)),"Check","Normal"))</x:f>
      </x:c>
    </x:row>
    <x:row r="251" ht="15" hidden="0" customHeight="1">
      <x:c r="A251" s="74"/>
      <x:c r="B251" s="46"/>
      <x:c r="C251" s="46"/>
      <x:c r="D251" s="46" t="str">
        <x:f>IFERROR(XLOOKUP(C251,'Animals'!$A$5:$A$104,'Animals'!$C$5:$C$104,""),"")</x:f>
      </x:c>
      <x:c r="E251" s="46" t="str">
        <x:f>IFERROR(XLOOKUP(C251,'Animals'!$A$5:$A$104,'Animals'!$H$5:$H$104,""),"")</x:f>
      </x:c>
      <x:c r="F251" s="71"/>
      <x:c r="G251" s="71"/>
      <x:c r="H251" s="71"/>
      <x:c r="I251" s="71"/>
      <x:c r="J251" s="71"/>
      <x:c r="K251" s="46"/>
      <x:c r="L251" s="46"/>
      <x:c r="M251" s="46"/>
      <x:c r="N251" s="46"/>
      <x:c r="O251" s="46"/>
      <x:c r="P251" s="46"/>
      <x:c r="Q251" s="47" t="str">
        <x:f>IF(C251="","",IF(OR(J251&gt;IFERROR(INDEX('Normal Parameters'!$G$5:$G$104,MATCH(1,('Normal Parameters'!$A$5:$A$104=D251)*('Normal Parameters'!$B$5:$B$104=E251)*('Normal Parameters'!$C$5:$C$104="Behavior Score"),0)),99),F251&lt;IFERROR(INDEX('Normal Parameters'!$E$5:$E$104,MATCH(1,('Normal Parameters'!$A$5:$A$104=D251)*('Normal Parameters'!$B$5:$B$104=E251)*('Normal Parameters'!$C$5:$C$104="Weight"),0)),0),F251&gt;IFERROR(INDEX('Normal Parameters'!$G$5:$G$104,MATCH(1,('Normal Parameters'!$A$5:$A$104=D251)*('Normal Parameters'!$B$5:$B$104=E251)*('Normal Parameters'!$C$5:$C$104="Weight"),0)),9999),I251&lt;IFERROR(INDEX('Normal Parameters'!$E$5:$E$104,MATCH(1,('Normal Parameters'!$A$5:$A$104=D251)*('Normal Parameters'!$B$5:$B$104=E251)*('Normal Parameters'!$C$5:$C$104="Temperature"),0)),0),I251&gt;IFERROR(INDEX('Normal Parameters'!$G$5:$G$104,MATCH(1,('Normal Parameters'!$A$5:$A$104=D251)*('Normal Parameters'!$B$5:$B$104=E251)*('Normal Parameters'!$C$5:$C$104="Temperature"),0)),9999)),"Check","Normal"))</x:f>
      </x:c>
    </x:row>
    <x:row r="252" ht="15" hidden="0" customHeight="1">
      <x:c r="A252" s="74"/>
      <x:c r="B252" s="46"/>
      <x:c r="C252" s="46"/>
      <x:c r="D252" s="46" t="str">
        <x:f>IFERROR(XLOOKUP(C252,'Animals'!$A$5:$A$104,'Animals'!$C$5:$C$104,""),"")</x:f>
      </x:c>
      <x:c r="E252" s="46" t="str">
        <x:f>IFERROR(XLOOKUP(C252,'Animals'!$A$5:$A$104,'Animals'!$H$5:$H$104,""),"")</x:f>
      </x:c>
      <x:c r="F252" s="71"/>
      <x:c r="G252" s="71"/>
      <x:c r="H252" s="71"/>
      <x:c r="I252" s="71"/>
      <x:c r="J252" s="71"/>
      <x:c r="K252" s="46"/>
      <x:c r="L252" s="46"/>
      <x:c r="M252" s="46"/>
      <x:c r="N252" s="46"/>
      <x:c r="O252" s="46"/>
      <x:c r="P252" s="46"/>
      <x:c r="Q252" s="47" t="str">
        <x:f>IF(C252="","",IF(OR(J252&gt;IFERROR(INDEX('Normal Parameters'!$G$5:$G$104,MATCH(1,('Normal Parameters'!$A$5:$A$104=D252)*('Normal Parameters'!$B$5:$B$104=E252)*('Normal Parameters'!$C$5:$C$104="Behavior Score"),0)),99),F252&lt;IFERROR(INDEX('Normal Parameters'!$E$5:$E$104,MATCH(1,('Normal Parameters'!$A$5:$A$104=D252)*('Normal Parameters'!$B$5:$B$104=E252)*('Normal Parameters'!$C$5:$C$104="Weight"),0)),0),F252&gt;IFERROR(INDEX('Normal Parameters'!$G$5:$G$104,MATCH(1,('Normal Parameters'!$A$5:$A$104=D252)*('Normal Parameters'!$B$5:$B$104=E252)*('Normal Parameters'!$C$5:$C$104="Weight"),0)),9999),I252&lt;IFERROR(INDEX('Normal Parameters'!$E$5:$E$104,MATCH(1,('Normal Parameters'!$A$5:$A$104=D252)*('Normal Parameters'!$B$5:$B$104=E252)*('Normal Parameters'!$C$5:$C$104="Temperature"),0)),0),I252&gt;IFERROR(INDEX('Normal Parameters'!$G$5:$G$104,MATCH(1,('Normal Parameters'!$A$5:$A$104=D252)*('Normal Parameters'!$B$5:$B$104=E252)*('Normal Parameters'!$C$5:$C$104="Temperature"),0)),9999)),"Check","Normal"))</x:f>
      </x:c>
    </x:row>
    <x:row r="253" ht="15" hidden="0" customHeight="1">
      <x:c r="A253" s="74"/>
      <x:c r="B253" s="46"/>
      <x:c r="C253" s="46"/>
      <x:c r="D253" s="46" t="str">
        <x:f>IFERROR(XLOOKUP(C253,'Animals'!$A$5:$A$104,'Animals'!$C$5:$C$104,""),"")</x:f>
      </x:c>
      <x:c r="E253" s="46" t="str">
        <x:f>IFERROR(XLOOKUP(C253,'Animals'!$A$5:$A$104,'Animals'!$H$5:$H$104,""),"")</x:f>
      </x:c>
      <x:c r="F253" s="71"/>
      <x:c r="G253" s="71"/>
      <x:c r="H253" s="71"/>
      <x:c r="I253" s="71"/>
      <x:c r="J253" s="71"/>
      <x:c r="K253" s="46"/>
      <x:c r="L253" s="46"/>
      <x:c r="M253" s="46"/>
      <x:c r="N253" s="46"/>
      <x:c r="O253" s="46"/>
      <x:c r="P253" s="46"/>
      <x:c r="Q253" s="47" t="str">
        <x:f>IF(C253="","",IF(OR(J253&gt;IFERROR(INDEX('Normal Parameters'!$G$5:$G$104,MATCH(1,('Normal Parameters'!$A$5:$A$104=D253)*('Normal Parameters'!$B$5:$B$104=E253)*('Normal Parameters'!$C$5:$C$104="Behavior Score"),0)),99),F253&lt;IFERROR(INDEX('Normal Parameters'!$E$5:$E$104,MATCH(1,('Normal Parameters'!$A$5:$A$104=D253)*('Normal Parameters'!$B$5:$B$104=E253)*('Normal Parameters'!$C$5:$C$104="Weight"),0)),0),F253&gt;IFERROR(INDEX('Normal Parameters'!$G$5:$G$104,MATCH(1,('Normal Parameters'!$A$5:$A$104=D253)*('Normal Parameters'!$B$5:$B$104=E253)*('Normal Parameters'!$C$5:$C$104="Weight"),0)),9999),I253&lt;IFERROR(INDEX('Normal Parameters'!$E$5:$E$104,MATCH(1,('Normal Parameters'!$A$5:$A$104=D253)*('Normal Parameters'!$B$5:$B$104=E253)*('Normal Parameters'!$C$5:$C$104="Temperature"),0)),0),I253&gt;IFERROR(INDEX('Normal Parameters'!$G$5:$G$104,MATCH(1,('Normal Parameters'!$A$5:$A$104=D253)*('Normal Parameters'!$B$5:$B$104=E253)*('Normal Parameters'!$C$5:$C$104="Temperature"),0)),9999)),"Check","Normal"))</x:f>
      </x:c>
    </x:row>
    <x:row r="254" ht="15" hidden="0" customHeight="1">
      <x:c r="A254" s="74"/>
      <x:c r="B254" s="46"/>
      <x:c r="C254" s="46"/>
      <x:c r="D254" s="46" t="str">
        <x:f>IFERROR(XLOOKUP(C254,'Animals'!$A$5:$A$104,'Animals'!$C$5:$C$104,""),"")</x:f>
      </x:c>
      <x:c r="E254" s="46" t="str">
        <x:f>IFERROR(XLOOKUP(C254,'Animals'!$A$5:$A$104,'Animals'!$H$5:$H$104,""),"")</x:f>
      </x:c>
      <x:c r="F254" s="71"/>
      <x:c r="G254" s="71"/>
      <x:c r="H254" s="71"/>
      <x:c r="I254" s="71"/>
      <x:c r="J254" s="71"/>
      <x:c r="K254" s="46"/>
      <x:c r="L254" s="46"/>
      <x:c r="M254" s="46"/>
      <x:c r="N254" s="46"/>
      <x:c r="O254" s="46"/>
      <x:c r="P254" s="46"/>
      <x:c r="Q254" s="47" t="str">
        <x:f>IF(C254="","",IF(OR(J254&gt;IFERROR(INDEX('Normal Parameters'!$G$5:$G$104,MATCH(1,('Normal Parameters'!$A$5:$A$104=D254)*('Normal Parameters'!$B$5:$B$104=E254)*('Normal Parameters'!$C$5:$C$104="Behavior Score"),0)),99),F254&lt;IFERROR(INDEX('Normal Parameters'!$E$5:$E$104,MATCH(1,('Normal Parameters'!$A$5:$A$104=D254)*('Normal Parameters'!$B$5:$B$104=E254)*('Normal Parameters'!$C$5:$C$104="Weight"),0)),0),F254&gt;IFERROR(INDEX('Normal Parameters'!$G$5:$G$104,MATCH(1,('Normal Parameters'!$A$5:$A$104=D254)*('Normal Parameters'!$B$5:$B$104=E254)*('Normal Parameters'!$C$5:$C$104="Weight"),0)),9999),I254&lt;IFERROR(INDEX('Normal Parameters'!$E$5:$E$104,MATCH(1,('Normal Parameters'!$A$5:$A$104=D254)*('Normal Parameters'!$B$5:$B$104=E254)*('Normal Parameters'!$C$5:$C$104="Temperature"),0)),0),I254&gt;IFERROR(INDEX('Normal Parameters'!$G$5:$G$104,MATCH(1,('Normal Parameters'!$A$5:$A$104=D254)*('Normal Parameters'!$B$5:$B$104=E254)*('Normal Parameters'!$C$5:$C$104="Temperature"),0)),9999)),"Check","Normal"))</x:f>
      </x:c>
    </x:row>
    <x:row r="255" ht="15" hidden="0" customHeight="1">
      <x:c r="A255" s="74"/>
      <x:c r="B255" s="46"/>
      <x:c r="C255" s="46"/>
      <x:c r="D255" s="46" t="str">
        <x:f>IFERROR(XLOOKUP(C255,'Animals'!$A$5:$A$104,'Animals'!$C$5:$C$104,""),"")</x:f>
      </x:c>
      <x:c r="E255" s="46" t="str">
        <x:f>IFERROR(XLOOKUP(C255,'Animals'!$A$5:$A$104,'Animals'!$H$5:$H$104,""),"")</x:f>
      </x:c>
      <x:c r="F255" s="71"/>
      <x:c r="G255" s="71"/>
      <x:c r="H255" s="71"/>
      <x:c r="I255" s="71"/>
      <x:c r="J255" s="71"/>
      <x:c r="K255" s="46"/>
      <x:c r="L255" s="46"/>
      <x:c r="M255" s="46"/>
      <x:c r="N255" s="46"/>
      <x:c r="O255" s="46"/>
      <x:c r="P255" s="46"/>
      <x:c r="Q255" s="47" t="str">
        <x:f>IF(C255="","",IF(OR(J255&gt;IFERROR(INDEX('Normal Parameters'!$G$5:$G$104,MATCH(1,('Normal Parameters'!$A$5:$A$104=D255)*('Normal Parameters'!$B$5:$B$104=E255)*('Normal Parameters'!$C$5:$C$104="Behavior Score"),0)),99),F255&lt;IFERROR(INDEX('Normal Parameters'!$E$5:$E$104,MATCH(1,('Normal Parameters'!$A$5:$A$104=D255)*('Normal Parameters'!$B$5:$B$104=E255)*('Normal Parameters'!$C$5:$C$104="Weight"),0)),0),F255&gt;IFERROR(INDEX('Normal Parameters'!$G$5:$G$104,MATCH(1,('Normal Parameters'!$A$5:$A$104=D255)*('Normal Parameters'!$B$5:$B$104=E255)*('Normal Parameters'!$C$5:$C$104="Weight"),0)),9999),I255&lt;IFERROR(INDEX('Normal Parameters'!$E$5:$E$104,MATCH(1,('Normal Parameters'!$A$5:$A$104=D255)*('Normal Parameters'!$B$5:$B$104=E255)*('Normal Parameters'!$C$5:$C$104="Temperature"),0)),0),I255&gt;IFERROR(INDEX('Normal Parameters'!$G$5:$G$104,MATCH(1,('Normal Parameters'!$A$5:$A$104=D255)*('Normal Parameters'!$B$5:$B$104=E255)*('Normal Parameters'!$C$5:$C$104="Temperature"),0)),9999)),"Check","Normal"))</x:f>
      </x:c>
    </x:row>
    <x:row r="256" ht="15" hidden="0" customHeight="1">
      <x:c r="A256" s="74"/>
      <x:c r="B256" s="46"/>
      <x:c r="C256" s="46"/>
      <x:c r="D256" s="46" t="str">
        <x:f>IFERROR(XLOOKUP(C256,'Animals'!$A$5:$A$104,'Animals'!$C$5:$C$104,""),"")</x:f>
      </x:c>
      <x:c r="E256" s="46" t="str">
        <x:f>IFERROR(XLOOKUP(C256,'Animals'!$A$5:$A$104,'Animals'!$H$5:$H$104,""),"")</x:f>
      </x:c>
      <x:c r="F256" s="71"/>
      <x:c r="G256" s="71"/>
      <x:c r="H256" s="71"/>
      <x:c r="I256" s="71"/>
      <x:c r="J256" s="71"/>
      <x:c r="K256" s="46"/>
      <x:c r="L256" s="46"/>
      <x:c r="M256" s="46"/>
      <x:c r="N256" s="46"/>
      <x:c r="O256" s="46"/>
      <x:c r="P256" s="46"/>
      <x:c r="Q256" s="47" t="str">
        <x:f>IF(C256="","",IF(OR(J256&gt;IFERROR(INDEX('Normal Parameters'!$G$5:$G$104,MATCH(1,('Normal Parameters'!$A$5:$A$104=D256)*('Normal Parameters'!$B$5:$B$104=E256)*('Normal Parameters'!$C$5:$C$104="Behavior Score"),0)),99),F256&lt;IFERROR(INDEX('Normal Parameters'!$E$5:$E$104,MATCH(1,('Normal Parameters'!$A$5:$A$104=D256)*('Normal Parameters'!$B$5:$B$104=E256)*('Normal Parameters'!$C$5:$C$104="Weight"),0)),0),F256&gt;IFERROR(INDEX('Normal Parameters'!$G$5:$G$104,MATCH(1,('Normal Parameters'!$A$5:$A$104=D256)*('Normal Parameters'!$B$5:$B$104=E256)*('Normal Parameters'!$C$5:$C$104="Weight"),0)),9999),I256&lt;IFERROR(INDEX('Normal Parameters'!$E$5:$E$104,MATCH(1,('Normal Parameters'!$A$5:$A$104=D256)*('Normal Parameters'!$B$5:$B$104=E256)*('Normal Parameters'!$C$5:$C$104="Temperature"),0)),0),I256&gt;IFERROR(INDEX('Normal Parameters'!$G$5:$G$104,MATCH(1,('Normal Parameters'!$A$5:$A$104=D256)*('Normal Parameters'!$B$5:$B$104=E256)*('Normal Parameters'!$C$5:$C$104="Temperature"),0)),9999)),"Check","Normal"))</x:f>
      </x:c>
    </x:row>
    <x:row r="257" ht="15" hidden="0" customHeight="1">
      <x:c r="A257" s="74"/>
      <x:c r="B257" s="46"/>
      <x:c r="C257" s="46"/>
      <x:c r="D257" s="46" t="str">
        <x:f>IFERROR(XLOOKUP(C257,'Animals'!$A$5:$A$104,'Animals'!$C$5:$C$104,""),"")</x:f>
      </x:c>
      <x:c r="E257" s="46" t="str">
        <x:f>IFERROR(XLOOKUP(C257,'Animals'!$A$5:$A$104,'Animals'!$H$5:$H$104,""),"")</x:f>
      </x:c>
      <x:c r="F257" s="71"/>
      <x:c r="G257" s="71"/>
      <x:c r="H257" s="71"/>
      <x:c r="I257" s="71"/>
      <x:c r="J257" s="71"/>
      <x:c r="K257" s="46"/>
      <x:c r="L257" s="46"/>
      <x:c r="M257" s="46"/>
      <x:c r="N257" s="46"/>
      <x:c r="O257" s="46"/>
      <x:c r="P257" s="46"/>
      <x:c r="Q257" s="47" t="str">
        <x:f>IF(C257="","",IF(OR(J257&gt;IFERROR(INDEX('Normal Parameters'!$G$5:$G$104,MATCH(1,('Normal Parameters'!$A$5:$A$104=D257)*('Normal Parameters'!$B$5:$B$104=E257)*('Normal Parameters'!$C$5:$C$104="Behavior Score"),0)),99),F257&lt;IFERROR(INDEX('Normal Parameters'!$E$5:$E$104,MATCH(1,('Normal Parameters'!$A$5:$A$104=D257)*('Normal Parameters'!$B$5:$B$104=E257)*('Normal Parameters'!$C$5:$C$104="Weight"),0)),0),F257&gt;IFERROR(INDEX('Normal Parameters'!$G$5:$G$104,MATCH(1,('Normal Parameters'!$A$5:$A$104=D257)*('Normal Parameters'!$B$5:$B$104=E257)*('Normal Parameters'!$C$5:$C$104="Weight"),0)),9999),I257&lt;IFERROR(INDEX('Normal Parameters'!$E$5:$E$104,MATCH(1,('Normal Parameters'!$A$5:$A$104=D257)*('Normal Parameters'!$B$5:$B$104=E257)*('Normal Parameters'!$C$5:$C$104="Temperature"),0)),0),I257&gt;IFERROR(INDEX('Normal Parameters'!$G$5:$G$104,MATCH(1,('Normal Parameters'!$A$5:$A$104=D257)*('Normal Parameters'!$B$5:$B$104=E257)*('Normal Parameters'!$C$5:$C$104="Temperature"),0)),9999)),"Check","Normal"))</x:f>
      </x:c>
    </x:row>
    <x:row r="258" ht="15" hidden="0" customHeight="1">
      <x:c r="A258" s="74"/>
      <x:c r="B258" s="46"/>
      <x:c r="C258" s="46"/>
      <x:c r="D258" s="46" t="str">
        <x:f>IFERROR(XLOOKUP(C258,'Animals'!$A$5:$A$104,'Animals'!$C$5:$C$104,""),"")</x:f>
      </x:c>
      <x:c r="E258" s="46" t="str">
        <x:f>IFERROR(XLOOKUP(C258,'Animals'!$A$5:$A$104,'Animals'!$H$5:$H$104,""),"")</x:f>
      </x:c>
      <x:c r="F258" s="71"/>
      <x:c r="G258" s="71"/>
      <x:c r="H258" s="71"/>
      <x:c r="I258" s="71"/>
      <x:c r="J258" s="71"/>
      <x:c r="K258" s="46"/>
      <x:c r="L258" s="46"/>
      <x:c r="M258" s="46"/>
      <x:c r="N258" s="46"/>
      <x:c r="O258" s="46"/>
      <x:c r="P258" s="46"/>
      <x:c r="Q258" s="47" t="str">
        <x:f>IF(C258="","",IF(OR(J258&gt;IFERROR(INDEX('Normal Parameters'!$G$5:$G$104,MATCH(1,('Normal Parameters'!$A$5:$A$104=D258)*('Normal Parameters'!$B$5:$B$104=E258)*('Normal Parameters'!$C$5:$C$104="Behavior Score"),0)),99),F258&lt;IFERROR(INDEX('Normal Parameters'!$E$5:$E$104,MATCH(1,('Normal Parameters'!$A$5:$A$104=D258)*('Normal Parameters'!$B$5:$B$104=E258)*('Normal Parameters'!$C$5:$C$104="Weight"),0)),0),F258&gt;IFERROR(INDEX('Normal Parameters'!$G$5:$G$104,MATCH(1,('Normal Parameters'!$A$5:$A$104=D258)*('Normal Parameters'!$B$5:$B$104=E258)*('Normal Parameters'!$C$5:$C$104="Weight"),0)),9999),I258&lt;IFERROR(INDEX('Normal Parameters'!$E$5:$E$104,MATCH(1,('Normal Parameters'!$A$5:$A$104=D258)*('Normal Parameters'!$B$5:$B$104=E258)*('Normal Parameters'!$C$5:$C$104="Temperature"),0)),0),I258&gt;IFERROR(INDEX('Normal Parameters'!$G$5:$G$104,MATCH(1,('Normal Parameters'!$A$5:$A$104=D258)*('Normal Parameters'!$B$5:$B$104=E258)*('Normal Parameters'!$C$5:$C$104="Temperature"),0)),9999)),"Check","Normal"))</x:f>
      </x:c>
    </x:row>
    <x:row r="259" ht="15" hidden="0" customHeight="1">
      <x:c r="A259" s="74"/>
      <x:c r="B259" s="46"/>
      <x:c r="C259" s="46"/>
      <x:c r="D259" s="46" t="str">
        <x:f>IFERROR(XLOOKUP(C259,'Animals'!$A$5:$A$104,'Animals'!$C$5:$C$104,""),"")</x:f>
      </x:c>
      <x:c r="E259" s="46" t="str">
        <x:f>IFERROR(XLOOKUP(C259,'Animals'!$A$5:$A$104,'Animals'!$H$5:$H$104,""),"")</x:f>
      </x:c>
      <x:c r="F259" s="71"/>
      <x:c r="G259" s="71"/>
      <x:c r="H259" s="71"/>
      <x:c r="I259" s="71"/>
      <x:c r="J259" s="71"/>
      <x:c r="K259" s="46"/>
      <x:c r="L259" s="46"/>
      <x:c r="M259" s="46"/>
      <x:c r="N259" s="46"/>
      <x:c r="O259" s="46"/>
      <x:c r="P259" s="46"/>
      <x:c r="Q259" s="47" t="str">
        <x:f>IF(C259="","",IF(OR(J259&gt;IFERROR(INDEX('Normal Parameters'!$G$5:$G$104,MATCH(1,('Normal Parameters'!$A$5:$A$104=D259)*('Normal Parameters'!$B$5:$B$104=E259)*('Normal Parameters'!$C$5:$C$104="Behavior Score"),0)),99),F259&lt;IFERROR(INDEX('Normal Parameters'!$E$5:$E$104,MATCH(1,('Normal Parameters'!$A$5:$A$104=D259)*('Normal Parameters'!$B$5:$B$104=E259)*('Normal Parameters'!$C$5:$C$104="Weight"),0)),0),F259&gt;IFERROR(INDEX('Normal Parameters'!$G$5:$G$104,MATCH(1,('Normal Parameters'!$A$5:$A$104=D259)*('Normal Parameters'!$B$5:$B$104=E259)*('Normal Parameters'!$C$5:$C$104="Weight"),0)),9999),I259&lt;IFERROR(INDEX('Normal Parameters'!$E$5:$E$104,MATCH(1,('Normal Parameters'!$A$5:$A$104=D259)*('Normal Parameters'!$B$5:$B$104=E259)*('Normal Parameters'!$C$5:$C$104="Temperature"),0)),0),I259&gt;IFERROR(INDEX('Normal Parameters'!$G$5:$G$104,MATCH(1,('Normal Parameters'!$A$5:$A$104=D259)*('Normal Parameters'!$B$5:$B$104=E259)*('Normal Parameters'!$C$5:$C$104="Temperature"),0)),9999)),"Check","Normal"))</x:f>
      </x:c>
    </x:row>
    <x:row r="260" ht="15" hidden="0" customHeight="1">
      <x:c r="A260" s="74"/>
      <x:c r="B260" s="46"/>
      <x:c r="C260" s="46"/>
      <x:c r="D260" s="46" t="str">
        <x:f>IFERROR(XLOOKUP(C260,'Animals'!$A$5:$A$104,'Animals'!$C$5:$C$104,""),"")</x:f>
      </x:c>
      <x:c r="E260" s="46" t="str">
        <x:f>IFERROR(XLOOKUP(C260,'Animals'!$A$5:$A$104,'Animals'!$H$5:$H$104,""),"")</x:f>
      </x:c>
      <x:c r="F260" s="71"/>
      <x:c r="G260" s="71"/>
      <x:c r="H260" s="71"/>
      <x:c r="I260" s="71"/>
      <x:c r="J260" s="71"/>
      <x:c r="K260" s="46"/>
      <x:c r="L260" s="46"/>
      <x:c r="M260" s="46"/>
      <x:c r="N260" s="46"/>
      <x:c r="O260" s="46"/>
      <x:c r="P260" s="46"/>
      <x:c r="Q260" s="47" t="str">
        <x:f>IF(C260="","",IF(OR(J260&gt;IFERROR(INDEX('Normal Parameters'!$G$5:$G$104,MATCH(1,('Normal Parameters'!$A$5:$A$104=D260)*('Normal Parameters'!$B$5:$B$104=E260)*('Normal Parameters'!$C$5:$C$104="Behavior Score"),0)),99),F260&lt;IFERROR(INDEX('Normal Parameters'!$E$5:$E$104,MATCH(1,('Normal Parameters'!$A$5:$A$104=D260)*('Normal Parameters'!$B$5:$B$104=E260)*('Normal Parameters'!$C$5:$C$104="Weight"),0)),0),F260&gt;IFERROR(INDEX('Normal Parameters'!$G$5:$G$104,MATCH(1,('Normal Parameters'!$A$5:$A$104=D260)*('Normal Parameters'!$B$5:$B$104=E260)*('Normal Parameters'!$C$5:$C$104="Weight"),0)),9999),I260&lt;IFERROR(INDEX('Normal Parameters'!$E$5:$E$104,MATCH(1,('Normal Parameters'!$A$5:$A$104=D260)*('Normal Parameters'!$B$5:$B$104=E260)*('Normal Parameters'!$C$5:$C$104="Temperature"),0)),0),I260&gt;IFERROR(INDEX('Normal Parameters'!$G$5:$G$104,MATCH(1,('Normal Parameters'!$A$5:$A$104=D260)*('Normal Parameters'!$B$5:$B$104=E260)*('Normal Parameters'!$C$5:$C$104="Temperature"),0)),9999)),"Check","Normal"))</x:f>
      </x:c>
    </x:row>
    <x:row r="261" ht="15" hidden="0" customHeight="1">
      <x:c r="A261" s="74"/>
      <x:c r="B261" s="46"/>
      <x:c r="C261" s="46"/>
      <x:c r="D261" s="46" t="str">
        <x:f>IFERROR(XLOOKUP(C261,'Animals'!$A$5:$A$104,'Animals'!$C$5:$C$104,""),"")</x:f>
      </x:c>
      <x:c r="E261" s="46" t="str">
        <x:f>IFERROR(XLOOKUP(C261,'Animals'!$A$5:$A$104,'Animals'!$H$5:$H$104,""),"")</x:f>
      </x:c>
      <x:c r="F261" s="71"/>
      <x:c r="G261" s="71"/>
      <x:c r="H261" s="71"/>
      <x:c r="I261" s="71"/>
      <x:c r="J261" s="71"/>
      <x:c r="K261" s="46"/>
      <x:c r="L261" s="46"/>
      <x:c r="M261" s="46"/>
      <x:c r="N261" s="46"/>
      <x:c r="O261" s="46"/>
      <x:c r="P261" s="46"/>
      <x:c r="Q261" s="47" t="str">
        <x:f>IF(C261="","",IF(OR(J261&gt;IFERROR(INDEX('Normal Parameters'!$G$5:$G$104,MATCH(1,('Normal Parameters'!$A$5:$A$104=D261)*('Normal Parameters'!$B$5:$B$104=E261)*('Normal Parameters'!$C$5:$C$104="Behavior Score"),0)),99),F261&lt;IFERROR(INDEX('Normal Parameters'!$E$5:$E$104,MATCH(1,('Normal Parameters'!$A$5:$A$104=D261)*('Normal Parameters'!$B$5:$B$104=E261)*('Normal Parameters'!$C$5:$C$104="Weight"),0)),0),F261&gt;IFERROR(INDEX('Normal Parameters'!$G$5:$G$104,MATCH(1,('Normal Parameters'!$A$5:$A$104=D261)*('Normal Parameters'!$B$5:$B$104=E261)*('Normal Parameters'!$C$5:$C$104="Weight"),0)),9999),I261&lt;IFERROR(INDEX('Normal Parameters'!$E$5:$E$104,MATCH(1,('Normal Parameters'!$A$5:$A$104=D261)*('Normal Parameters'!$B$5:$B$104=E261)*('Normal Parameters'!$C$5:$C$104="Temperature"),0)),0),I261&gt;IFERROR(INDEX('Normal Parameters'!$G$5:$G$104,MATCH(1,('Normal Parameters'!$A$5:$A$104=D261)*('Normal Parameters'!$B$5:$B$104=E261)*('Normal Parameters'!$C$5:$C$104="Temperature"),0)),9999)),"Check","Normal"))</x:f>
      </x:c>
    </x:row>
    <x:row r="262" ht="15" hidden="0" customHeight="1">
      <x:c r="A262" s="74"/>
      <x:c r="B262" s="46"/>
      <x:c r="C262" s="46"/>
      <x:c r="D262" s="46" t="str">
        <x:f>IFERROR(XLOOKUP(C262,'Animals'!$A$5:$A$104,'Animals'!$C$5:$C$104,""),"")</x:f>
      </x:c>
      <x:c r="E262" s="46" t="str">
        <x:f>IFERROR(XLOOKUP(C262,'Animals'!$A$5:$A$104,'Animals'!$H$5:$H$104,""),"")</x:f>
      </x:c>
      <x:c r="F262" s="71"/>
      <x:c r="G262" s="71"/>
      <x:c r="H262" s="71"/>
      <x:c r="I262" s="71"/>
      <x:c r="J262" s="71"/>
      <x:c r="K262" s="46"/>
      <x:c r="L262" s="46"/>
      <x:c r="M262" s="46"/>
      <x:c r="N262" s="46"/>
      <x:c r="O262" s="46"/>
      <x:c r="P262" s="46"/>
      <x:c r="Q262" s="47" t="str">
        <x:f>IF(C262="","",IF(OR(J262&gt;IFERROR(INDEX('Normal Parameters'!$G$5:$G$104,MATCH(1,('Normal Parameters'!$A$5:$A$104=D262)*('Normal Parameters'!$B$5:$B$104=E262)*('Normal Parameters'!$C$5:$C$104="Behavior Score"),0)),99),F262&lt;IFERROR(INDEX('Normal Parameters'!$E$5:$E$104,MATCH(1,('Normal Parameters'!$A$5:$A$104=D262)*('Normal Parameters'!$B$5:$B$104=E262)*('Normal Parameters'!$C$5:$C$104="Weight"),0)),0),F262&gt;IFERROR(INDEX('Normal Parameters'!$G$5:$G$104,MATCH(1,('Normal Parameters'!$A$5:$A$104=D262)*('Normal Parameters'!$B$5:$B$104=E262)*('Normal Parameters'!$C$5:$C$104="Weight"),0)),9999),I262&lt;IFERROR(INDEX('Normal Parameters'!$E$5:$E$104,MATCH(1,('Normal Parameters'!$A$5:$A$104=D262)*('Normal Parameters'!$B$5:$B$104=E262)*('Normal Parameters'!$C$5:$C$104="Temperature"),0)),0),I262&gt;IFERROR(INDEX('Normal Parameters'!$G$5:$G$104,MATCH(1,('Normal Parameters'!$A$5:$A$104=D262)*('Normal Parameters'!$B$5:$B$104=E262)*('Normal Parameters'!$C$5:$C$104="Temperature"),0)),9999)),"Check","Normal"))</x:f>
      </x:c>
    </x:row>
    <x:row r="263" ht="15" hidden="0" customHeight="1">
      <x:c r="A263" s="74"/>
      <x:c r="B263" s="46"/>
      <x:c r="C263" s="46"/>
      <x:c r="D263" s="46" t="str">
        <x:f>IFERROR(XLOOKUP(C263,'Animals'!$A$5:$A$104,'Animals'!$C$5:$C$104,""),"")</x:f>
      </x:c>
      <x:c r="E263" s="46" t="str">
        <x:f>IFERROR(XLOOKUP(C263,'Animals'!$A$5:$A$104,'Animals'!$H$5:$H$104,""),"")</x:f>
      </x:c>
      <x:c r="F263" s="71"/>
      <x:c r="G263" s="71"/>
      <x:c r="H263" s="71"/>
      <x:c r="I263" s="71"/>
      <x:c r="J263" s="71"/>
      <x:c r="K263" s="46"/>
      <x:c r="L263" s="46"/>
      <x:c r="M263" s="46"/>
      <x:c r="N263" s="46"/>
      <x:c r="O263" s="46"/>
      <x:c r="P263" s="46"/>
      <x:c r="Q263" s="47" t="str">
        <x:f>IF(C263="","",IF(OR(J263&gt;IFERROR(INDEX('Normal Parameters'!$G$5:$G$104,MATCH(1,('Normal Parameters'!$A$5:$A$104=D263)*('Normal Parameters'!$B$5:$B$104=E263)*('Normal Parameters'!$C$5:$C$104="Behavior Score"),0)),99),F263&lt;IFERROR(INDEX('Normal Parameters'!$E$5:$E$104,MATCH(1,('Normal Parameters'!$A$5:$A$104=D263)*('Normal Parameters'!$B$5:$B$104=E263)*('Normal Parameters'!$C$5:$C$104="Weight"),0)),0),F263&gt;IFERROR(INDEX('Normal Parameters'!$G$5:$G$104,MATCH(1,('Normal Parameters'!$A$5:$A$104=D263)*('Normal Parameters'!$B$5:$B$104=E263)*('Normal Parameters'!$C$5:$C$104="Weight"),0)),9999),I263&lt;IFERROR(INDEX('Normal Parameters'!$E$5:$E$104,MATCH(1,('Normal Parameters'!$A$5:$A$104=D263)*('Normal Parameters'!$B$5:$B$104=E263)*('Normal Parameters'!$C$5:$C$104="Temperature"),0)),0),I263&gt;IFERROR(INDEX('Normal Parameters'!$G$5:$G$104,MATCH(1,('Normal Parameters'!$A$5:$A$104=D263)*('Normal Parameters'!$B$5:$B$104=E263)*('Normal Parameters'!$C$5:$C$104="Temperature"),0)),9999)),"Check","Normal"))</x:f>
      </x:c>
    </x:row>
    <x:row r="264" ht="15" hidden="0" customHeight="1">
      <x:c r="A264" s="74"/>
      <x:c r="B264" s="46"/>
      <x:c r="C264" s="46"/>
      <x:c r="D264" s="46" t="str">
        <x:f>IFERROR(XLOOKUP(C264,'Animals'!$A$5:$A$104,'Animals'!$C$5:$C$104,""),"")</x:f>
      </x:c>
      <x:c r="E264" s="46" t="str">
        <x:f>IFERROR(XLOOKUP(C264,'Animals'!$A$5:$A$104,'Animals'!$H$5:$H$104,""),"")</x:f>
      </x:c>
      <x:c r="F264" s="71"/>
      <x:c r="G264" s="71"/>
      <x:c r="H264" s="71"/>
      <x:c r="I264" s="71"/>
      <x:c r="J264" s="71"/>
      <x:c r="K264" s="46"/>
      <x:c r="L264" s="46"/>
      <x:c r="M264" s="46"/>
      <x:c r="N264" s="46"/>
      <x:c r="O264" s="46"/>
      <x:c r="P264" s="46"/>
      <x:c r="Q264" s="47" t="str">
        <x:f>IF(C264="","",IF(OR(J264&gt;IFERROR(INDEX('Normal Parameters'!$G$5:$G$104,MATCH(1,('Normal Parameters'!$A$5:$A$104=D264)*('Normal Parameters'!$B$5:$B$104=E264)*('Normal Parameters'!$C$5:$C$104="Behavior Score"),0)),99),F264&lt;IFERROR(INDEX('Normal Parameters'!$E$5:$E$104,MATCH(1,('Normal Parameters'!$A$5:$A$104=D264)*('Normal Parameters'!$B$5:$B$104=E264)*('Normal Parameters'!$C$5:$C$104="Weight"),0)),0),F264&gt;IFERROR(INDEX('Normal Parameters'!$G$5:$G$104,MATCH(1,('Normal Parameters'!$A$5:$A$104=D264)*('Normal Parameters'!$B$5:$B$104=E264)*('Normal Parameters'!$C$5:$C$104="Weight"),0)),9999),I264&lt;IFERROR(INDEX('Normal Parameters'!$E$5:$E$104,MATCH(1,('Normal Parameters'!$A$5:$A$104=D264)*('Normal Parameters'!$B$5:$B$104=E264)*('Normal Parameters'!$C$5:$C$104="Temperature"),0)),0),I264&gt;IFERROR(INDEX('Normal Parameters'!$G$5:$G$104,MATCH(1,('Normal Parameters'!$A$5:$A$104=D264)*('Normal Parameters'!$B$5:$B$104=E264)*('Normal Parameters'!$C$5:$C$104="Temperature"),0)),9999)),"Check","Normal"))</x:f>
      </x:c>
    </x:row>
    <x:row r="265" ht="15" hidden="0" customHeight="1">
      <x:c r="A265" s="74"/>
      <x:c r="B265" s="46"/>
      <x:c r="C265" s="46"/>
      <x:c r="D265" s="46" t="str">
        <x:f>IFERROR(XLOOKUP(C265,'Animals'!$A$5:$A$104,'Animals'!$C$5:$C$104,""),"")</x:f>
      </x:c>
      <x:c r="E265" s="46" t="str">
        <x:f>IFERROR(XLOOKUP(C265,'Animals'!$A$5:$A$104,'Animals'!$H$5:$H$104,""),"")</x:f>
      </x:c>
      <x:c r="F265" s="71"/>
      <x:c r="G265" s="71"/>
      <x:c r="H265" s="71"/>
      <x:c r="I265" s="71"/>
      <x:c r="J265" s="71"/>
      <x:c r="K265" s="46"/>
      <x:c r="L265" s="46"/>
      <x:c r="M265" s="46"/>
      <x:c r="N265" s="46"/>
      <x:c r="O265" s="46"/>
      <x:c r="P265" s="46"/>
      <x:c r="Q265" s="47" t="str">
        <x:f>IF(C265="","",IF(OR(J265&gt;IFERROR(INDEX('Normal Parameters'!$G$5:$G$104,MATCH(1,('Normal Parameters'!$A$5:$A$104=D265)*('Normal Parameters'!$B$5:$B$104=E265)*('Normal Parameters'!$C$5:$C$104="Behavior Score"),0)),99),F265&lt;IFERROR(INDEX('Normal Parameters'!$E$5:$E$104,MATCH(1,('Normal Parameters'!$A$5:$A$104=D265)*('Normal Parameters'!$B$5:$B$104=E265)*('Normal Parameters'!$C$5:$C$104="Weight"),0)),0),F265&gt;IFERROR(INDEX('Normal Parameters'!$G$5:$G$104,MATCH(1,('Normal Parameters'!$A$5:$A$104=D265)*('Normal Parameters'!$B$5:$B$104=E265)*('Normal Parameters'!$C$5:$C$104="Weight"),0)),9999),I265&lt;IFERROR(INDEX('Normal Parameters'!$E$5:$E$104,MATCH(1,('Normal Parameters'!$A$5:$A$104=D265)*('Normal Parameters'!$B$5:$B$104=E265)*('Normal Parameters'!$C$5:$C$104="Temperature"),0)),0),I265&gt;IFERROR(INDEX('Normal Parameters'!$G$5:$G$104,MATCH(1,('Normal Parameters'!$A$5:$A$104=D265)*('Normal Parameters'!$B$5:$B$104=E265)*('Normal Parameters'!$C$5:$C$104="Temperature"),0)),9999)),"Check","Normal"))</x:f>
      </x:c>
    </x:row>
    <x:row r="266" ht="15" hidden="0" customHeight="1">
      <x:c r="A266" s="74"/>
      <x:c r="B266" s="46"/>
      <x:c r="C266" s="46"/>
      <x:c r="D266" s="46" t="str">
        <x:f>IFERROR(XLOOKUP(C266,'Animals'!$A$5:$A$104,'Animals'!$C$5:$C$104,""),"")</x:f>
      </x:c>
      <x:c r="E266" s="46" t="str">
        <x:f>IFERROR(XLOOKUP(C266,'Animals'!$A$5:$A$104,'Animals'!$H$5:$H$104,""),"")</x:f>
      </x:c>
      <x:c r="F266" s="71"/>
      <x:c r="G266" s="71"/>
      <x:c r="H266" s="71"/>
      <x:c r="I266" s="71"/>
      <x:c r="J266" s="71"/>
      <x:c r="K266" s="46"/>
      <x:c r="L266" s="46"/>
      <x:c r="M266" s="46"/>
      <x:c r="N266" s="46"/>
      <x:c r="O266" s="46"/>
      <x:c r="P266" s="46"/>
      <x:c r="Q266" s="47" t="str">
        <x:f>IF(C266="","",IF(OR(J266&gt;IFERROR(INDEX('Normal Parameters'!$G$5:$G$104,MATCH(1,('Normal Parameters'!$A$5:$A$104=D266)*('Normal Parameters'!$B$5:$B$104=E266)*('Normal Parameters'!$C$5:$C$104="Behavior Score"),0)),99),F266&lt;IFERROR(INDEX('Normal Parameters'!$E$5:$E$104,MATCH(1,('Normal Parameters'!$A$5:$A$104=D266)*('Normal Parameters'!$B$5:$B$104=E266)*('Normal Parameters'!$C$5:$C$104="Weight"),0)),0),F266&gt;IFERROR(INDEX('Normal Parameters'!$G$5:$G$104,MATCH(1,('Normal Parameters'!$A$5:$A$104=D266)*('Normal Parameters'!$B$5:$B$104=E266)*('Normal Parameters'!$C$5:$C$104="Weight"),0)),9999),I266&lt;IFERROR(INDEX('Normal Parameters'!$E$5:$E$104,MATCH(1,('Normal Parameters'!$A$5:$A$104=D266)*('Normal Parameters'!$B$5:$B$104=E266)*('Normal Parameters'!$C$5:$C$104="Temperature"),0)),0),I266&gt;IFERROR(INDEX('Normal Parameters'!$G$5:$G$104,MATCH(1,('Normal Parameters'!$A$5:$A$104=D266)*('Normal Parameters'!$B$5:$B$104=E266)*('Normal Parameters'!$C$5:$C$104="Temperature"),0)),9999)),"Check","Normal"))</x:f>
      </x:c>
    </x:row>
    <x:row r="267" ht="15" hidden="0" customHeight="1">
      <x:c r="A267" s="74"/>
      <x:c r="B267" s="46"/>
      <x:c r="C267" s="46"/>
      <x:c r="D267" s="46" t="str">
        <x:f>IFERROR(XLOOKUP(C267,'Animals'!$A$5:$A$104,'Animals'!$C$5:$C$104,""),"")</x:f>
      </x:c>
      <x:c r="E267" s="46" t="str">
        <x:f>IFERROR(XLOOKUP(C267,'Animals'!$A$5:$A$104,'Animals'!$H$5:$H$104,""),"")</x:f>
      </x:c>
      <x:c r="F267" s="71"/>
      <x:c r="G267" s="71"/>
      <x:c r="H267" s="71"/>
      <x:c r="I267" s="71"/>
      <x:c r="J267" s="71"/>
      <x:c r="K267" s="46"/>
      <x:c r="L267" s="46"/>
      <x:c r="M267" s="46"/>
      <x:c r="N267" s="46"/>
      <x:c r="O267" s="46"/>
      <x:c r="P267" s="46"/>
      <x:c r="Q267" s="47" t="str">
        <x:f>IF(C267="","",IF(OR(J267&gt;IFERROR(INDEX('Normal Parameters'!$G$5:$G$104,MATCH(1,('Normal Parameters'!$A$5:$A$104=D267)*('Normal Parameters'!$B$5:$B$104=E267)*('Normal Parameters'!$C$5:$C$104="Behavior Score"),0)),99),F267&lt;IFERROR(INDEX('Normal Parameters'!$E$5:$E$104,MATCH(1,('Normal Parameters'!$A$5:$A$104=D267)*('Normal Parameters'!$B$5:$B$104=E267)*('Normal Parameters'!$C$5:$C$104="Weight"),0)),0),F267&gt;IFERROR(INDEX('Normal Parameters'!$G$5:$G$104,MATCH(1,('Normal Parameters'!$A$5:$A$104=D267)*('Normal Parameters'!$B$5:$B$104=E267)*('Normal Parameters'!$C$5:$C$104="Weight"),0)),9999),I267&lt;IFERROR(INDEX('Normal Parameters'!$E$5:$E$104,MATCH(1,('Normal Parameters'!$A$5:$A$104=D267)*('Normal Parameters'!$B$5:$B$104=E267)*('Normal Parameters'!$C$5:$C$104="Temperature"),0)),0),I267&gt;IFERROR(INDEX('Normal Parameters'!$G$5:$G$104,MATCH(1,('Normal Parameters'!$A$5:$A$104=D267)*('Normal Parameters'!$B$5:$B$104=E267)*('Normal Parameters'!$C$5:$C$104="Temperature"),0)),9999)),"Check","Normal"))</x:f>
      </x:c>
    </x:row>
    <x:row r="268" ht="15" hidden="0" customHeight="1">
      <x:c r="A268" s="74"/>
      <x:c r="B268" s="46"/>
      <x:c r="C268" s="46"/>
      <x:c r="D268" s="46" t="str">
        <x:f>IFERROR(XLOOKUP(C268,'Animals'!$A$5:$A$104,'Animals'!$C$5:$C$104,""),"")</x:f>
      </x:c>
      <x:c r="E268" s="46" t="str">
        <x:f>IFERROR(XLOOKUP(C268,'Animals'!$A$5:$A$104,'Animals'!$H$5:$H$104,""),"")</x:f>
      </x:c>
      <x:c r="F268" s="71"/>
      <x:c r="G268" s="71"/>
      <x:c r="H268" s="71"/>
      <x:c r="I268" s="71"/>
      <x:c r="J268" s="71"/>
      <x:c r="K268" s="46"/>
      <x:c r="L268" s="46"/>
      <x:c r="M268" s="46"/>
      <x:c r="N268" s="46"/>
      <x:c r="O268" s="46"/>
      <x:c r="P268" s="46"/>
      <x:c r="Q268" s="47" t="str">
        <x:f>IF(C268="","",IF(OR(J268&gt;IFERROR(INDEX('Normal Parameters'!$G$5:$G$104,MATCH(1,('Normal Parameters'!$A$5:$A$104=D268)*('Normal Parameters'!$B$5:$B$104=E268)*('Normal Parameters'!$C$5:$C$104="Behavior Score"),0)),99),F268&lt;IFERROR(INDEX('Normal Parameters'!$E$5:$E$104,MATCH(1,('Normal Parameters'!$A$5:$A$104=D268)*('Normal Parameters'!$B$5:$B$104=E268)*('Normal Parameters'!$C$5:$C$104="Weight"),0)),0),F268&gt;IFERROR(INDEX('Normal Parameters'!$G$5:$G$104,MATCH(1,('Normal Parameters'!$A$5:$A$104=D268)*('Normal Parameters'!$B$5:$B$104=E268)*('Normal Parameters'!$C$5:$C$104="Weight"),0)),9999),I268&lt;IFERROR(INDEX('Normal Parameters'!$E$5:$E$104,MATCH(1,('Normal Parameters'!$A$5:$A$104=D268)*('Normal Parameters'!$B$5:$B$104=E268)*('Normal Parameters'!$C$5:$C$104="Temperature"),0)),0),I268&gt;IFERROR(INDEX('Normal Parameters'!$G$5:$G$104,MATCH(1,('Normal Parameters'!$A$5:$A$104=D268)*('Normal Parameters'!$B$5:$B$104=E268)*('Normal Parameters'!$C$5:$C$104="Temperature"),0)),9999)),"Check","Normal"))</x:f>
      </x:c>
    </x:row>
    <x:row r="269" ht="15" hidden="0" customHeight="1">
      <x:c r="A269" s="74"/>
      <x:c r="B269" s="46"/>
      <x:c r="C269" s="46"/>
      <x:c r="D269" s="46" t="str">
        <x:f>IFERROR(XLOOKUP(C269,'Animals'!$A$5:$A$104,'Animals'!$C$5:$C$104,""),"")</x:f>
      </x:c>
      <x:c r="E269" s="46" t="str">
        <x:f>IFERROR(XLOOKUP(C269,'Animals'!$A$5:$A$104,'Animals'!$H$5:$H$104,""),"")</x:f>
      </x:c>
      <x:c r="F269" s="71"/>
      <x:c r="G269" s="71"/>
      <x:c r="H269" s="71"/>
      <x:c r="I269" s="71"/>
      <x:c r="J269" s="71"/>
      <x:c r="K269" s="46"/>
      <x:c r="L269" s="46"/>
      <x:c r="M269" s="46"/>
      <x:c r="N269" s="46"/>
      <x:c r="O269" s="46"/>
      <x:c r="P269" s="46"/>
      <x:c r="Q269" s="47" t="str">
        <x:f>IF(C269="","",IF(OR(J269&gt;IFERROR(INDEX('Normal Parameters'!$G$5:$G$104,MATCH(1,('Normal Parameters'!$A$5:$A$104=D269)*('Normal Parameters'!$B$5:$B$104=E269)*('Normal Parameters'!$C$5:$C$104="Behavior Score"),0)),99),F269&lt;IFERROR(INDEX('Normal Parameters'!$E$5:$E$104,MATCH(1,('Normal Parameters'!$A$5:$A$104=D269)*('Normal Parameters'!$B$5:$B$104=E269)*('Normal Parameters'!$C$5:$C$104="Weight"),0)),0),F269&gt;IFERROR(INDEX('Normal Parameters'!$G$5:$G$104,MATCH(1,('Normal Parameters'!$A$5:$A$104=D269)*('Normal Parameters'!$B$5:$B$104=E269)*('Normal Parameters'!$C$5:$C$104="Weight"),0)),9999),I269&lt;IFERROR(INDEX('Normal Parameters'!$E$5:$E$104,MATCH(1,('Normal Parameters'!$A$5:$A$104=D269)*('Normal Parameters'!$B$5:$B$104=E269)*('Normal Parameters'!$C$5:$C$104="Temperature"),0)),0),I269&gt;IFERROR(INDEX('Normal Parameters'!$G$5:$G$104,MATCH(1,('Normal Parameters'!$A$5:$A$104=D269)*('Normal Parameters'!$B$5:$B$104=E269)*('Normal Parameters'!$C$5:$C$104="Temperature"),0)),9999)),"Check","Normal"))</x:f>
      </x:c>
    </x:row>
    <x:row r="270" ht="15" hidden="0" customHeight="1">
      <x:c r="A270" s="74"/>
      <x:c r="B270" s="46"/>
      <x:c r="C270" s="46"/>
      <x:c r="D270" s="46" t="str">
        <x:f>IFERROR(XLOOKUP(C270,'Animals'!$A$5:$A$104,'Animals'!$C$5:$C$104,""),"")</x:f>
      </x:c>
      <x:c r="E270" s="46" t="str">
        <x:f>IFERROR(XLOOKUP(C270,'Animals'!$A$5:$A$104,'Animals'!$H$5:$H$104,""),"")</x:f>
      </x:c>
      <x:c r="F270" s="71"/>
      <x:c r="G270" s="71"/>
      <x:c r="H270" s="71"/>
      <x:c r="I270" s="71"/>
      <x:c r="J270" s="71"/>
      <x:c r="K270" s="46"/>
      <x:c r="L270" s="46"/>
      <x:c r="M270" s="46"/>
      <x:c r="N270" s="46"/>
      <x:c r="O270" s="46"/>
      <x:c r="P270" s="46"/>
      <x:c r="Q270" s="47" t="str">
        <x:f>IF(C270="","",IF(OR(J270&gt;IFERROR(INDEX('Normal Parameters'!$G$5:$G$104,MATCH(1,('Normal Parameters'!$A$5:$A$104=D270)*('Normal Parameters'!$B$5:$B$104=E270)*('Normal Parameters'!$C$5:$C$104="Behavior Score"),0)),99),F270&lt;IFERROR(INDEX('Normal Parameters'!$E$5:$E$104,MATCH(1,('Normal Parameters'!$A$5:$A$104=D270)*('Normal Parameters'!$B$5:$B$104=E270)*('Normal Parameters'!$C$5:$C$104="Weight"),0)),0),F270&gt;IFERROR(INDEX('Normal Parameters'!$G$5:$G$104,MATCH(1,('Normal Parameters'!$A$5:$A$104=D270)*('Normal Parameters'!$B$5:$B$104=E270)*('Normal Parameters'!$C$5:$C$104="Weight"),0)),9999),I270&lt;IFERROR(INDEX('Normal Parameters'!$E$5:$E$104,MATCH(1,('Normal Parameters'!$A$5:$A$104=D270)*('Normal Parameters'!$B$5:$B$104=E270)*('Normal Parameters'!$C$5:$C$104="Temperature"),0)),0),I270&gt;IFERROR(INDEX('Normal Parameters'!$G$5:$G$104,MATCH(1,('Normal Parameters'!$A$5:$A$104=D270)*('Normal Parameters'!$B$5:$B$104=E270)*('Normal Parameters'!$C$5:$C$104="Temperature"),0)),9999)),"Check","Normal"))</x:f>
      </x:c>
    </x:row>
    <x:row r="271" ht="15" hidden="0" customHeight="1">
      <x:c r="A271" s="74"/>
      <x:c r="B271" s="46"/>
      <x:c r="C271" s="46"/>
      <x:c r="D271" s="46" t="str">
        <x:f>IFERROR(XLOOKUP(C271,'Animals'!$A$5:$A$104,'Animals'!$C$5:$C$104,""),"")</x:f>
      </x:c>
      <x:c r="E271" s="46" t="str">
        <x:f>IFERROR(XLOOKUP(C271,'Animals'!$A$5:$A$104,'Animals'!$H$5:$H$104,""),"")</x:f>
      </x:c>
      <x:c r="F271" s="71"/>
      <x:c r="G271" s="71"/>
      <x:c r="H271" s="71"/>
      <x:c r="I271" s="71"/>
      <x:c r="J271" s="71"/>
      <x:c r="K271" s="46"/>
      <x:c r="L271" s="46"/>
      <x:c r="M271" s="46"/>
      <x:c r="N271" s="46"/>
      <x:c r="O271" s="46"/>
      <x:c r="P271" s="46"/>
      <x:c r="Q271" s="47" t="str">
        <x:f>IF(C271="","",IF(OR(J271&gt;IFERROR(INDEX('Normal Parameters'!$G$5:$G$104,MATCH(1,('Normal Parameters'!$A$5:$A$104=D271)*('Normal Parameters'!$B$5:$B$104=E271)*('Normal Parameters'!$C$5:$C$104="Behavior Score"),0)),99),F271&lt;IFERROR(INDEX('Normal Parameters'!$E$5:$E$104,MATCH(1,('Normal Parameters'!$A$5:$A$104=D271)*('Normal Parameters'!$B$5:$B$104=E271)*('Normal Parameters'!$C$5:$C$104="Weight"),0)),0),F271&gt;IFERROR(INDEX('Normal Parameters'!$G$5:$G$104,MATCH(1,('Normal Parameters'!$A$5:$A$104=D271)*('Normal Parameters'!$B$5:$B$104=E271)*('Normal Parameters'!$C$5:$C$104="Weight"),0)),9999),I271&lt;IFERROR(INDEX('Normal Parameters'!$E$5:$E$104,MATCH(1,('Normal Parameters'!$A$5:$A$104=D271)*('Normal Parameters'!$B$5:$B$104=E271)*('Normal Parameters'!$C$5:$C$104="Temperature"),0)),0),I271&gt;IFERROR(INDEX('Normal Parameters'!$G$5:$G$104,MATCH(1,('Normal Parameters'!$A$5:$A$104=D271)*('Normal Parameters'!$B$5:$B$104=E271)*('Normal Parameters'!$C$5:$C$104="Temperature"),0)),9999)),"Check","Normal"))</x:f>
      </x:c>
    </x:row>
    <x:row r="272" ht="15" hidden="0" customHeight="1">
      <x:c r="A272" s="74"/>
      <x:c r="B272" s="46"/>
      <x:c r="C272" s="46"/>
      <x:c r="D272" s="46" t="str">
        <x:f>IFERROR(XLOOKUP(C272,'Animals'!$A$5:$A$104,'Animals'!$C$5:$C$104,""),"")</x:f>
      </x:c>
      <x:c r="E272" s="46" t="str">
        <x:f>IFERROR(XLOOKUP(C272,'Animals'!$A$5:$A$104,'Animals'!$H$5:$H$104,""),"")</x:f>
      </x:c>
      <x:c r="F272" s="71"/>
      <x:c r="G272" s="71"/>
      <x:c r="H272" s="71"/>
      <x:c r="I272" s="71"/>
      <x:c r="J272" s="71"/>
      <x:c r="K272" s="46"/>
      <x:c r="L272" s="46"/>
      <x:c r="M272" s="46"/>
      <x:c r="N272" s="46"/>
      <x:c r="O272" s="46"/>
      <x:c r="P272" s="46"/>
      <x:c r="Q272" s="47" t="str">
        <x:f>IF(C272="","",IF(OR(J272&gt;IFERROR(INDEX('Normal Parameters'!$G$5:$G$104,MATCH(1,('Normal Parameters'!$A$5:$A$104=D272)*('Normal Parameters'!$B$5:$B$104=E272)*('Normal Parameters'!$C$5:$C$104="Behavior Score"),0)),99),F272&lt;IFERROR(INDEX('Normal Parameters'!$E$5:$E$104,MATCH(1,('Normal Parameters'!$A$5:$A$104=D272)*('Normal Parameters'!$B$5:$B$104=E272)*('Normal Parameters'!$C$5:$C$104="Weight"),0)),0),F272&gt;IFERROR(INDEX('Normal Parameters'!$G$5:$G$104,MATCH(1,('Normal Parameters'!$A$5:$A$104=D272)*('Normal Parameters'!$B$5:$B$104=E272)*('Normal Parameters'!$C$5:$C$104="Weight"),0)),9999),I272&lt;IFERROR(INDEX('Normal Parameters'!$E$5:$E$104,MATCH(1,('Normal Parameters'!$A$5:$A$104=D272)*('Normal Parameters'!$B$5:$B$104=E272)*('Normal Parameters'!$C$5:$C$104="Temperature"),0)),0),I272&gt;IFERROR(INDEX('Normal Parameters'!$G$5:$G$104,MATCH(1,('Normal Parameters'!$A$5:$A$104=D272)*('Normal Parameters'!$B$5:$B$104=E272)*('Normal Parameters'!$C$5:$C$104="Temperature"),0)),9999)),"Check","Normal"))</x:f>
      </x:c>
    </x:row>
    <x:row r="273" ht="15" hidden="0" customHeight="1">
      <x:c r="A273" s="74"/>
      <x:c r="B273" s="46"/>
      <x:c r="C273" s="46"/>
      <x:c r="D273" s="46" t="str">
        <x:f>IFERROR(XLOOKUP(C273,'Animals'!$A$5:$A$104,'Animals'!$C$5:$C$104,""),"")</x:f>
      </x:c>
      <x:c r="E273" s="46" t="str">
        <x:f>IFERROR(XLOOKUP(C273,'Animals'!$A$5:$A$104,'Animals'!$H$5:$H$104,""),"")</x:f>
      </x:c>
      <x:c r="F273" s="71"/>
      <x:c r="G273" s="71"/>
      <x:c r="H273" s="71"/>
      <x:c r="I273" s="71"/>
      <x:c r="J273" s="71"/>
      <x:c r="K273" s="46"/>
      <x:c r="L273" s="46"/>
      <x:c r="M273" s="46"/>
      <x:c r="N273" s="46"/>
      <x:c r="O273" s="46"/>
      <x:c r="P273" s="46"/>
      <x:c r="Q273" s="47" t="str">
        <x:f>IF(C273="","",IF(OR(J273&gt;IFERROR(INDEX('Normal Parameters'!$G$5:$G$104,MATCH(1,('Normal Parameters'!$A$5:$A$104=D273)*('Normal Parameters'!$B$5:$B$104=E273)*('Normal Parameters'!$C$5:$C$104="Behavior Score"),0)),99),F273&lt;IFERROR(INDEX('Normal Parameters'!$E$5:$E$104,MATCH(1,('Normal Parameters'!$A$5:$A$104=D273)*('Normal Parameters'!$B$5:$B$104=E273)*('Normal Parameters'!$C$5:$C$104="Weight"),0)),0),F273&gt;IFERROR(INDEX('Normal Parameters'!$G$5:$G$104,MATCH(1,('Normal Parameters'!$A$5:$A$104=D273)*('Normal Parameters'!$B$5:$B$104=E273)*('Normal Parameters'!$C$5:$C$104="Weight"),0)),9999),I273&lt;IFERROR(INDEX('Normal Parameters'!$E$5:$E$104,MATCH(1,('Normal Parameters'!$A$5:$A$104=D273)*('Normal Parameters'!$B$5:$B$104=E273)*('Normal Parameters'!$C$5:$C$104="Temperature"),0)),0),I273&gt;IFERROR(INDEX('Normal Parameters'!$G$5:$G$104,MATCH(1,('Normal Parameters'!$A$5:$A$104=D273)*('Normal Parameters'!$B$5:$B$104=E273)*('Normal Parameters'!$C$5:$C$104="Temperature"),0)),9999)),"Check","Normal"))</x:f>
      </x:c>
    </x:row>
    <x:row r="274" ht="15" hidden="0" customHeight="1">
      <x:c r="A274" s="74"/>
      <x:c r="B274" s="46"/>
      <x:c r="C274" s="46"/>
      <x:c r="D274" s="46" t="str">
        <x:f>IFERROR(XLOOKUP(C274,'Animals'!$A$5:$A$104,'Animals'!$C$5:$C$104,""),"")</x:f>
      </x:c>
      <x:c r="E274" s="46" t="str">
        <x:f>IFERROR(XLOOKUP(C274,'Animals'!$A$5:$A$104,'Animals'!$H$5:$H$104,""),"")</x:f>
      </x:c>
      <x:c r="F274" s="71"/>
      <x:c r="G274" s="71"/>
      <x:c r="H274" s="71"/>
      <x:c r="I274" s="71"/>
      <x:c r="J274" s="71"/>
      <x:c r="K274" s="46"/>
      <x:c r="L274" s="46"/>
      <x:c r="M274" s="46"/>
      <x:c r="N274" s="46"/>
      <x:c r="O274" s="46"/>
      <x:c r="P274" s="46"/>
      <x:c r="Q274" s="47" t="str">
        <x:f>IF(C274="","",IF(OR(J274&gt;IFERROR(INDEX('Normal Parameters'!$G$5:$G$104,MATCH(1,('Normal Parameters'!$A$5:$A$104=D274)*('Normal Parameters'!$B$5:$B$104=E274)*('Normal Parameters'!$C$5:$C$104="Behavior Score"),0)),99),F274&lt;IFERROR(INDEX('Normal Parameters'!$E$5:$E$104,MATCH(1,('Normal Parameters'!$A$5:$A$104=D274)*('Normal Parameters'!$B$5:$B$104=E274)*('Normal Parameters'!$C$5:$C$104="Weight"),0)),0),F274&gt;IFERROR(INDEX('Normal Parameters'!$G$5:$G$104,MATCH(1,('Normal Parameters'!$A$5:$A$104=D274)*('Normal Parameters'!$B$5:$B$104=E274)*('Normal Parameters'!$C$5:$C$104="Weight"),0)),9999),I274&lt;IFERROR(INDEX('Normal Parameters'!$E$5:$E$104,MATCH(1,('Normal Parameters'!$A$5:$A$104=D274)*('Normal Parameters'!$B$5:$B$104=E274)*('Normal Parameters'!$C$5:$C$104="Temperature"),0)),0),I274&gt;IFERROR(INDEX('Normal Parameters'!$G$5:$G$104,MATCH(1,('Normal Parameters'!$A$5:$A$104=D274)*('Normal Parameters'!$B$5:$B$104=E274)*('Normal Parameters'!$C$5:$C$104="Temperature"),0)),9999)),"Check","Normal"))</x:f>
      </x:c>
    </x:row>
    <x:row r="275" ht="15" hidden="0" customHeight="1">
      <x:c r="A275" s="74"/>
      <x:c r="B275" s="46"/>
      <x:c r="C275" s="46"/>
      <x:c r="D275" s="46" t="str">
        <x:f>IFERROR(XLOOKUP(C275,'Animals'!$A$5:$A$104,'Animals'!$C$5:$C$104,""),"")</x:f>
      </x:c>
      <x:c r="E275" s="46" t="str">
        <x:f>IFERROR(XLOOKUP(C275,'Animals'!$A$5:$A$104,'Animals'!$H$5:$H$104,""),"")</x:f>
      </x:c>
      <x:c r="F275" s="71"/>
      <x:c r="G275" s="71"/>
      <x:c r="H275" s="71"/>
      <x:c r="I275" s="71"/>
      <x:c r="J275" s="71"/>
      <x:c r="K275" s="46"/>
      <x:c r="L275" s="46"/>
      <x:c r="M275" s="46"/>
      <x:c r="N275" s="46"/>
      <x:c r="O275" s="46"/>
      <x:c r="P275" s="46"/>
      <x:c r="Q275" s="47" t="str">
        <x:f>IF(C275="","",IF(OR(J275&gt;IFERROR(INDEX('Normal Parameters'!$G$5:$G$104,MATCH(1,('Normal Parameters'!$A$5:$A$104=D275)*('Normal Parameters'!$B$5:$B$104=E275)*('Normal Parameters'!$C$5:$C$104="Behavior Score"),0)),99),F275&lt;IFERROR(INDEX('Normal Parameters'!$E$5:$E$104,MATCH(1,('Normal Parameters'!$A$5:$A$104=D275)*('Normal Parameters'!$B$5:$B$104=E275)*('Normal Parameters'!$C$5:$C$104="Weight"),0)),0),F275&gt;IFERROR(INDEX('Normal Parameters'!$G$5:$G$104,MATCH(1,('Normal Parameters'!$A$5:$A$104=D275)*('Normal Parameters'!$B$5:$B$104=E275)*('Normal Parameters'!$C$5:$C$104="Weight"),0)),9999),I275&lt;IFERROR(INDEX('Normal Parameters'!$E$5:$E$104,MATCH(1,('Normal Parameters'!$A$5:$A$104=D275)*('Normal Parameters'!$B$5:$B$104=E275)*('Normal Parameters'!$C$5:$C$104="Temperature"),0)),0),I275&gt;IFERROR(INDEX('Normal Parameters'!$G$5:$G$104,MATCH(1,('Normal Parameters'!$A$5:$A$104=D275)*('Normal Parameters'!$B$5:$B$104=E275)*('Normal Parameters'!$C$5:$C$104="Temperature"),0)),9999)),"Check","Normal"))</x:f>
      </x:c>
    </x:row>
    <x:row r="276" ht="15" hidden="0" customHeight="1">
      <x:c r="A276" s="74"/>
      <x:c r="B276" s="46"/>
      <x:c r="C276" s="46"/>
      <x:c r="D276" s="46" t="str">
        <x:f>IFERROR(XLOOKUP(C276,'Animals'!$A$5:$A$104,'Animals'!$C$5:$C$104,""),"")</x:f>
      </x:c>
      <x:c r="E276" s="46" t="str">
        <x:f>IFERROR(XLOOKUP(C276,'Animals'!$A$5:$A$104,'Animals'!$H$5:$H$104,""),"")</x:f>
      </x:c>
      <x:c r="F276" s="71"/>
      <x:c r="G276" s="71"/>
      <x:c r="H276" s="71"/>
      <x:c r="I276" s="71"/>
      <x:c r="J276" s="71"/>
      <x:c r="K276" s="46"/>
      <x:c r="L276" s="46"/>
      <x:c r="M276" s="46"/>
      <x:c r="N276" s="46"/>
      <x:c r="O276" s="46"/>
      <x:c r="P276" s="46"/>
      <x:c r="Q276" s="47" t="str">
        <x:f>IF(C276="","",IF(OR(J276&gt;IFERROR(INDEX('Normal Parameters'!$G$5:$G$104,MATCH(1,('Normal Parameters'!$A$5:$A$104=D276)*('Normal Parameters'!$B$5:$B$104=E276)*('Normal Parameters'!$C$5:$C$104="Behavior Score"),0)),99),F276&lt;IFERROR(INDEX('Normal Parameters'!$E$5:$E$104,MATCH(1,('Normal Parameters'!$A$5:$A$104=D276)*('Normal Parameters'!$B$5:$B$104=E276)*('Normal Parameters'!$C$5:$C$104="Weight"),0)),0),F276&gt;IFERROR(INDEX('Normal Parameters'!$G$5:$G$104,MATCH(1,('Normal Parameters'!$A$5:$A$104=D276)*('Normal Parameters'!$B$5:$B$104=E276)*('Normal Parameters'!$C$5:$C$104="Weight"),0)),9999),I276&lt;IFERROR(INDEX('Normal Parameters'!$E$5:$E$104,MATCH(1,('Normal Parameters'!$A$5:$A$104=D276)*('Normal Parameters'!$B$5:$B$104=E276)*('Normal Parameters'!$C$5:$C$104="Temperature"),0)),0),I276&gt;IFERROR(INDEX('Normal Parameters'!$G$5:$G$104,MATCH(1,('Normal Parameters'!$A$5:$A$104=D276)*('Normal Parameters'!$B$5:$B$104=E276)*('Normal Parameters'!$C$5:$C$104="Temperature"),0)),9999)),"Check","Normal"))</x:f>
      </x:c>
    </x:row>
    <x:row r="277" ht="15" hidden="0" customHeight="1">
      <x:c r="A277" s="74"/>
      <x:c r="B277" s="46"/>
      <x:c r="C277" s="46"/>
      <x:c r="D277" s="46" t="str">
        <x:f>IFERROR(XLOOKUP(C277,'Animals'!$A$5:$A$104,'Animals'!$C$5:$C$104,""),"")</x:f>
      </x:c>
      <x:c r="E277" s="46" t="str">
        <x:f>IFERROR(XLOOKUP(C277,'Animals'!$A$5:$A$104,'Animals'!$H$5:$H$104,""),"")</x:f>
      </x:c>
      <x:c r="F277" s="71"/>
      <x:c r="G277" s="71"/>
      <x:c r="H277" s="71"/>
      <x:c r="I277" s="71"/>
      <x:c r="J277" s="71"/>
      <x:c r="K277" s="46"/>
      <x:c r="L277" s="46"/>
      <x:c r="M277" s="46"/>
      <x:c r="N277" s="46"/>
      <x:c r="O277" s="46"/>
      <x:c r="P277" s="46"/>
      <x:c r="Q277" s="47" t="str">
        <x:f>IF(C277="","",IF(OR(J277&gt;IFERROR(INDEX('Normal Parameters'!$G$5:$G$104,MATCH(1,('Normal Parameters'!$A$5:$A$104=D277)*('Normal Parameters'!$B$5:$B$104=E277)*('Normal Parameters'!$C$5:$C$104="Behavior Score"),0)),99),F277&lt;IFERROR(INDEX('Normal Parameters'!$E$5:$E$104,MATCH(1,('Normal Parameters'!$A$5:$A$104=D277)*('Normal Parameters'!$B$5:$B$104=E277)*('Normal Parameters'!$C$5:$C$104="Weight"),0)),0),F277&gt;IFERROR(INDEX('Normal Parameters'!$G$5:$G$104,MATCH(1,('Normal Parameters'!$A$5:$A$104=D277)*('Normal Parameters'!$B$5:$B$104=E277)*('Normal Parameters'!$C$5:$C$104="Weight"),0)),9999),I277&lt;IFERROR(INDEX('Normal Parameters'!$E$5:$E$104,MATCH(1,('Normal Parameters'!$A$5:$A$104=D277)*('Normal Parameters'!$B$5:$B$104=E277)*('Normal Parameters'!$C$5:$C$104="Temperature"),0)),0),I277&gt;IFERROR(INDEX('Normal Parameters'!$G$5:$G$104,MATCH(1,('Normal Parameters'!$A$5:$A$104=D277)*('Normal Parameters'!$B$5:$B$104=E277)*('Normal Parameters'!$C$5:$C$104="Temperature"),0)),9999)),"Check","Normal"))</x:f>
      </x:c>
    </x:row>
    <x:row r="278" ht="15" hidden="0" customHeight="1">
      <x:c r="A278" s="74"/>
      <x:c r="B278" s="46"/>
      <x:c r="C278" s="46"/>
      <x:c r="D278" s="46" t="str">
        <x:f>IFERROR(XLOOKUP(C278,'Animals'!$A$5:$A$104,'Animals'!$C$5:$C$104,""),"")</x:f>
      </x:c>
      <x:c r="E278" s="46" t="str">
        <x:f>IFERROR(XLOOKUP(C278,'Animals'!$A$5:$A$104,'Animals'!$H$5:$H$104,""),"")</x:f>
      </x:c>
      <x:c r="F278" s="71"/>
      <x:c r="G278" s="71"/>
      <x:c r="H278" s="71"/>
      <x:c r="I278" s="71"/>
      <x:c r="J278" s="71"/>
      <x:c r="K278" s="46"/>
      <x:c r="L278" s="46"/>
      <x:c r="M278" s="46"/>
      <x:c r="N278" s="46"/>
      <x:c r="O278" s="46"/>
      <x:c r="P278" s="46"/>
      <x:c r="Q278" s="47" t="str">
        <x:f>IF(C278="","",IF(OR(J278&gt;IFERROR(INDEX('Normal Parameters'!$G$5:$G$104,MATCH(1,('Normal Parameters'!$A$5:$A$104=D278)*('Normal Parameters'!$B$5:$B$104=E278)*('Normal Parameters'!$C$5:$C$104="Behavior Score"),0)),99),F278&lt;IFERROR(INDEX('Normal Parameters'!$E$5:$E$104,MATCH(1,('Normal Parameters'!$A$5:$A$104=D278)*('Normal Parameters'!$B$5:$B$104=E278)*('Normal Parameters'!$C$5:$C$104="Weight"),0)),0),F278&gt;IFERROR(INDEX('Normal Parameters'!$G$5:$G$104,MATCH(1,('Normal Parameters'!$A$5:$A$104=D278)*('Normal Parameters'!$B$5:$B$104=E278)*('Normal Parameters'!$C$5:$C$104="Weight"),0)),9999),I278&lt;IFERROR(INDEX('Normal Parameters'!$E$5:$E$104,MATCH(1,('Normal Parameters'!$A$5:$A$104=D278)*('Normal Parameters'!$B$5:$B$104=E278)*('Normal Parameters'!$C$5:$C$104="Temperature"),0)),0),I278&gt;IFERROR(INDEX('Normal Parameters'!$G$5:$G$104,MATCH(1,('Normal Parameters'!$A$5:$A$104=D278)*('Normal Parameters'!$B$5:$B$104=E278)*('Normal Parameters'!$C$5:$C$104="Temperature"),0)),9999)),"Check","Normal"))</x:f>
      </x:c>
    </x:row>
    <x:row r="279" ht="15" hidden="0" customHeight="1">
      <x:c r="A279" s="74"/>
      <x:c r="B279" s="46"/>
      <x:c r="C279" s="46"/>
      <x:c r="D279" s="46" t="str">
        <x:f>IFERROR(XLOOKUP(C279,'Animals'!$A$5:$A$104,'Animals'!$C$5:$C$104,""),"")</x:f>
      </x:c>
      <x:c r="E279" s="46" t="str">
        <x:f>IFERROR(XLOOKUP(C279,'Animals'!$A$5:$A$104,'Animals'!$H$5:$H$104,""),"")</x:f>
      </x:c>
      <x:c r="F279" s="71"/>
      <x:c r="G279" s="71"/>
      <x:c r="H279" s="71"/>
      <x:c r="I279" s="71"/>
      <x:c r="J279" s="71"/>
      <x:c r="K279" s="46"/>
      <x:c r="L279" s="46"/>
      <x:c r="M279" s="46"/>
      <x:c r="N279" s="46"/>
      <x:c r="O279" s="46"/>
      <x:c r="P279" s="46"/>
      <x:c r="Q279" s="47" t="str">
        <x:f>IF(C279="","",IF(OR(J279&gt;IFERROR(INDEX('Normal Parameters'!$G$5:$G$104,MATCH(1,('Normal Parameters'!$A$5:$A$104=D279)*('Normal Parameters'!$B$5:$B$104=E279)*('Normal Parameters'!$C$5:$C$104="Behavior Score"),0)),99),F279&lt;IFERROR(INDEX('Normal Parameters'!$E$5:$E$104,MATCH(1,('Normal Parameters'!$A$5:$A$104=D279)*('Normal Parameters'!$B$5:$B$104=E279)*('Normal Parameters'!$C$5:$C$104="Weight"),0)),0),F279&gt;IFERROR(INDEX('Normal Parameters'!$G$5:$G$104,MATCH(1,('Normal Parameters'!$A$5:$A$104=D279)*('Normal Parameters'!$B$5:$B$104=E279)*('Normal Parameters'!$C$5:$C$104="Weight"),0)),9999),I279&lt;IFERROR(INDEX('Normal Parameters'!$E$5:$E$104,MATCH(1,('Normal Parameters'!$A$5:$A$104=D279)*('Normal Parameters'!$B$5:$B$104=E279)*('Normal Parameters'!$C$5:$C$104="Temperature"),0)),0),I279&gt;IFERROR(INDEX('Normal Parameters'!$G$5:$G$104,MATCH(1,('Normal Parameters'!$A$5:$A$104=D279)*('Normal Parameters'!$B$5:$B$104=E279)*('Normal Parameters'!$C$5:$C$104="Temperature"),0)),9999)),"Check","Normal"))</x:f>
      </x:c>
    </x:row>
    <x:row r="280" ht="15" hidden="0" customHeight="1">
      <x:c r="A280" s="74"/>
      <x:c r="B280" s="46"/>
      <x:c r="C280" s="46"/>
      <x:c r="D280" s="46" t="str">
        <x:f>IFERROR(XLOOKUP(C280,'Animals'!$A$5:$A$104,'Animals'!$C$5:$C$104,""),"")</x:f>
      </x:c>
      <x:c r="E280" s="46" t="str">
        <x:f>IFERROR(XLOOKUP(C280,'Animals'!$A$5:$A$104,'Animals'!$H$5:$H$104,""),"")</x:f>
      </x:c>
      <x:c r="F280" s="71"/>
      <x:c r="G280" s="71"/>
      <x:c r="H280" s="71"/>
      <x:c r="I280" s="71"/>
      <x:c r="J280" s="71"/>
      <x:c r="K280" s="46"/>
      <x:c r="L280" s="46"/>
      <x:c r="M280" s="46"/>
      <x:c r="N280" s="46"/>
      <x:c r="O280" s="46"/>
      <x:c r="P280" s="46"/>
      <x:c r="Q280" s="47" t="str">
        <x:f>IF(C280="","",IF(OR(J280&gt;IFERROR(INDEX('Normal Parameters'!$G$5:$G$104,MATCH(1,('Normal Parameters'!$A$5:$A$104=D280)*('Normal Parameters'!$B$5:$B$104=E280)*('Normal Parameters'!$C$5:$C$104="Behavior Score"),0)),99),F280&lt;IFERROR(INDEX('Normal Parameters'!$E$5:$E$104,MATCH(1,('Normal Parameters'!$A$5:$A$104=D280)*('Normal Parameters'!$B$5:$B$104=E280)*('Normal Parameters'!$C$5:$C$104="Weight"),0)),0),F280&gt;IFERROR(INDEX('Normal Parameters'!$G$5:$G$104,MATCH(1,('Normal Parameters'!$A$5:$A$104=D280)*('Normal Parameters'!$B$5:$B$104=E280)*('Normal Parameters'!$C$5:$C$104="Weight"),0)),9999),I280&lt;IFERROR(INDEX('Normal Parameters'!$E$5:$E$104,MATCH(1,('Normal Parameters'!$A$5:$A$104=D280)*('Normal Parameters'!$B$5:$B$104=E280)*('Normal Parameters'!$C$5:$C$104="Temperature"),0)),0),I280&gt;IFERROR(INDEX('Normal Parameters'!$G$5:$G$104,MATCH(1,('Normal Parameters'!$A$5:$A$104=D280)*('Normal Parameters'!$B$5:$B$104=E280)*('Normal Parameters'!$C$5:$C$104="Temperature"),0)),9999)),"Check","Normal"))</x:f>
      </x:c>
    </x:row>
    <x:row r="281" ht="15" hidden="0" customHeight="1">
      <x:c r="A281" s="74"/>
      <x:c r="B281" s="46"/>
      <x:c r="C281" s="46"/>
      <x:c r="D281" s="46" t="str">
        <x:f>IFERROR(XLOOKUP(C281,'Animals'!$A$5:$A$104,'Animals'!$C$5:$C$104,""),"")</x:f>
      </x:c>
      <x:c r="E281" s="46" t="str">
        <x:f>IFERROR(XLOOKUP(C281,'Animals'!$A$5:$A$104,'Animals'!$H$5:$H$104,""),"")</x:f>
      </x:c>
      <x:c r="F281" s="71"/>
      <x:c r="G281" s="71"/>
      <x:c r="H281" s="71"/>
      <x:c r="I281" s="71"/>
      <x:c r="J281" s="71"/>
      <x:c r="K281" s="46"/>
      <x:c r="L281" s="46"/>
      <x:c r="M281" s="46"/>
      <x:c r="N281" s="46"/>
      <x:c r="O281" s="46"/>
      <x:c r="P281" s="46"/>
      <x:c r="Q281" s="47" t="str">
        <x:f>IF(C281="","",IF(OR(J281&gt;IFERROR(INDEX('Normal Parameters'!$G$5:$G$104,MATCH(1,('Normal Parameters'!$A$5:$A$104=D281)*('Normal Parameters'!$B$5:$B$104=E281)*('Normal Parameters'!$C$5:$C$104="Behavior Score"),0)),99),F281&lt;IFERROR(INDEX('Normal Parameters'!$E$5:$E$104,MATCH(1,('Normal Parameters'!$A$5:$A$104=D281)*('Normal Parameters'!$B$5:$B$104=E281)*('Normal Parameters'!$C$5:$C$104="Weight"),0)),0),F281&gt;IFERROR(INDEX('Normal Parameters'!$G$5:$G$104,MATCH(1,('Normal Parameters'!$A$5:$A$104=D281)*('Normal Parameters'!$B$5:$B$104=E281)*('Normal Parameters'!$C$5:$C$104="Weight"),0)),9999),I281&lt;IFERROR(INDEX('Normal Parameters'!$E$5:$E$104,MATCH(1,('Normal Parameters'!$A$5:$A$104=D281)*('Normal Parameters'!$B$5:$B$104=E281)*('Normal Parameters'!$C$5:$C$104="Temperature"),0)),0),I281&gt;IFERROR(INDEX('Normal Parameters'!$G$5:$G$104,MATCH(1,('Normal Parameters'!$A$5:$A$104=D281)*('Normal Parameters'!$B$5:$B$104=E281)*('Normal Parameters'!$C$5:$C$104="Temperature"),0)),9999)),"Check","Normal"))</x:f>
      </x:c>
    </x:row>
    <x:row r="282" ht="15" hidden="0" customHeight="1">
      <x:c r="A282" s="74"/>
      <x:c r="B282" s="46"/>
      <x:c r="C282" s="46"/>
      <x:c r="D282" s="46" t="str">
        <x:f>IFERROR(XLOOKUP(C282,'Animals'!$A$5:$A$104,'Animals'!$C$5:$C$104,""),"")</x:f>
      </x:c>
      <x:c r="E282" s="46" t="str">
        <x:f>IFERROR(XLOOKUP(C282,'Animals'!$A$5:$A$104,'Animals'!$H$5:$H$104,""),"")</x:f>
      </x:c>
      <x:c r="F282" s="71"/>
      <x:c r="G282" s="71"/>
      <x:c r="H282" s="71"/>
      <x:c r="I282" s="71"/>
      <x:c r="J282" s="71"/>
      <x:c r="K282" s="46"/>
      <x:c r="L282" s="46"/>
      <x:c r="M282" s="46"/>
      <x:c r="N282" s="46"/>
      <x:c r="O282" s="46"/>
      <x:c r="P282" s="46"/>
      <x:c r="Q282" s="47" t="str">
        <x:f>IF(C282="","",IF(OR(J282&gt;IFERROR(INDEX('Normal Parameters'!$G$5:$G$104,MATCH(1,('Normal Parameters'!$A$5:$A$104=D282)*('Normal Parameters'!$B$5:$B$104=E282)*('Normal Parameters'!$C$5:$C$104="Behavior Score"),0)),99),F282&lt;IFERROR(INDEX('Normal Parameters'!$E$5:$E$104,MATCH(1,('Normal Parameters'!$A$5:$A$104=D282)*('Normal Parameters'!$B$5:$B$104=E282)*('Normal Parameters'!$C$5:$C$104="Weight"),0)),0),F282&gt;IFERROR(INDEX('Normal Parameters'!$G$5:$G$104,MATCH(1,('Normal Parameters'!$A$5:$A$104=D282)*('Normal Parameters'!$B$5:$B$104=E282)*('Normal Parameters'!$C$5:$C$104="Weight"),0)),9999),I282&lt;IFERROR(INDEX('Normal Parameters'!$E$5:$E$104,MATCH(1,('Normal Parameters'!$A$5:$A$104=D282)*('Normal Parameters'!$B$5:$B$104=E282)*('Normal Parameters'!$C$5:$C$104="Temperature"),0)),0),I282&gt;IFERROR(INDEX('Normal Parameters'!$G$5:$G$104,MATCH(1,('Normal Parameters'!$A$5:$A$104=D282)*('Normal Parameters'!$B$5:$B$104=E282)*('Normal Parameters'!$C$5:$C$104="Temperature"),0)),9999)),"Check","Normal"))</x:f>
      </x:c>
    </x:row>
    <x:row r="283" ht="15" hidden="0" customHeight="1">
      <x:c r="A283" s="74"/>
      <x:c r="B283" s="46"/>
      <x:c r="C283" s="46"/>
      <x:c r="D283" s="46" t="str">
        <x:f>IFERROR(XLOOKUP(C283,'Animals'!$A$5:$A$104,'Animals'!$C$5:$C$104,""),"")</x:f>
      </x:c>
      <x:c r="E283" s="46" t="str">
        <x:f>IFERROR(XLOOKUP(C283,'Animals'!$A$5:$A$104,'Animals'!$H$5:$H$104,""),"")</x:f>
      </x:c>
      <x:c r="F283" s="71"/>
      <x:c r="G283" s="71"/>
      <x:c r="H283" s="71"/>
      <x:c r="I283" s="71"/>
      <x:c r="J283" s="71"/>
      <x:c r="K283" s="46"/>
      <x:c r="L283" s="46"/>
      <x:c r="M283" s="46"/>
      <x:c r="N283" s="46"/>
      <x:c r="O283" s="46"/>
      <x:c r="P283" s="46"/>
      <x:c r="Q283" s="47" t="str">
        <x:f>IF(C283="","",IF(OR(J283&gt;IFERROR(INDEX('Normal Parameters'!$G$5:$G$104,MATCH(1,('Normal Parameters'!$A$5:$A$104=D283)*('Normal Parameters'!$B$5:$B$104=E283)*('Normal Parameters'!$C$5:$C$104="Behavior Score"),0)),99),F283&lt;IFERROR(INDEX('Normal Parameters'!$E$5:$E$104,MATCH(1,('Normal Parameters'!$A$5:$A$104=D283)*('Normal Parameters'!$B$5:$B$104=E283)*('Normal Parameters'!$C$5:$C$104="Weight"),0)),0),F283&gt;IFERROR(INDEX('Normal Parameters'!$G$5:$G$104,MATCH(1,('Normal Parameters'!$A$5:$A$104=D283)*('Normal Parameters'!$B$5:$B$104=E283)*('Normal Parameters'!$C$5:$C$104="Weight"),0)),9999),I283&lt;IFERROR(INDEX('Normal Parameters'!$E$5:$E$104,MATCH(1,('Normal Parameters'!$A$5:$A$104=D283)*('Normal Parameters'!$B$5:$B$104=E283)*('Normal Parameters'!$C$5:$C$104="Temperature"),0)),0),I283&gt;IFERROR(INDEX('Normal Parameters'!$G$5:$G$104,MATCH(1,('Normal Parameters'!$A$5:$A$104=D283)*('Normal Parameters'!$B$5:$B$104=E283)*('Normal Parameters'!$C$5:$C$104="Temperature"),0)),9999)),"Check","Normal"))</x:f>
      </x:c>
    </x:row>
    <x:row r="284" ht="15" hidden="0" customHeight="1">
      <x:c r="A284" s="74"/>
      <x:c r="B284" s="46"/>
      <x:c r="C284" s="46"/>
      <x:c r="D284" s="46" t="str">
        <x:f>IFERROR(XLOOKUP(C284,'Animals'!$A$5:$A$104,'Animals'!$C$5:$C$104,""),"")</x:f>
      </x:c>
      <x:c r="E284" s="46" t="str">
        <x:f>IFERROR(XLOOKUP(C284,'Animals'!$A$5:$A$104,'Animals'!$H$5:$H$104,""),"")</x:f>
      </x:c>
      <x:c r="F284" s="71"/>
      <x:c r="G284" s="71"/>
      <x:c r="H284" s="71"/>
      <x:c r="I284" s="71"/>
      <x:c r="J284" s="71"/>
      <x:c r="K284" s="46"/>
      <x:c r="L284" s="46"/>
      <x:c r="M284" s="46"/>
      <x:c r="N284" s="46"/>
      <x:c r="O284" s="46"/>
      <x:c r="P284" s="46"/>
      <x:c r="Q284" s="47" t="str">
        <x:f>IF(C284="","",IF(OR(J284&gt;IFERROR(INDEX('Normal Parameters'!$G$5:$G$104,MATCH(1,('Normal Parameters'!$A$5:$A$104=D284)*('Normal Parameters'!$B$5:$B$104=E284)*('Normal Parameters'!$C$5:$C$104="Behavior Score"),0)),99),F284&lt;IFERROR(INDEX('Normal Parameters'!$E$5:$E$104,MATCH(1,('Normal Parameters'!$A$5:$A$104=D284)*('Normal Parameters'!$B$5:$B$104=E284)*('Normal Parameters'!$C$5:$C$104="Weight"),0)),0),F284&gt;IFERROR(INDEX('Normal Parameters'!$G$5:$G$104,MATCH(1,('Normal Parameters'!$A$5:$A$104=D284)*('Normal Parameters'!$B$5:$B$104=E284)*('Normal Parameters'!$C$5:$C$104="Weight"),0)),9999),I284&lt;IFERROR(INDEX('Normal Parameters'!$E$5:$E$104,MATCH(1,('Normal Parameters'!$A$5:$A$104=D284)*('Normal Parameters'!$B$5:$B$104=E284)*('Normal Parameters'!$C$5:$C$104="Temperature"),0)),0),I284&gt;IFERROR(INDEX('Normal Parameters'!$G$5:$G$104,MATCH(1,('Normal Parameters'!$A$5:$A$104=D284)*('Normal Parameters'!$B$5:$B$104=E284)*('Normal Parameters'!$C$5:$C$104="Temperature"),0)),9999)),"Check","Normal"))</x:f>
      </x:c>
    </x:row>
    <x:row r="285" ht="15" hidden="0" customHeight="1">
      <x:c r="A285" s="74"/>
      <x:c r="B285" s="46"/>
      <x:c r="C285" s="46"/>
      <x:c r="D285" s="46" t="str">
        <x:f>IFERROR(XLOOKUP(C285,'Animals'!$A$5:$A$104,'Animals'!$C$5:$C$104,""),"")</x:f>
      </x:c>
      <x:c r="E285" s="46" t="str">
        <x:f>IFERROR(XLOOKUP(C285,'Animals'!$A$5:$A$104,'Animals'!$H$5:$H$104,""),"")</x:f>
      </x:c>
      <x:c r="F285" s="71"/>
      <x:c r="G285" s="71"/>
      <x:c r="H285" s="71"/>
      <x:c r="I285" s="71"/>
      <x:c r="J285" s="71"/>
      <x:c r="K285" s="46"/>
      <x:c r="L285" s="46"/>
      <x:c r="M285" s="46"/>
      <x:c r="N285" s="46"/>
      <x:c r="O285" s="46"/>
      <x:c r="P285" s="46"/>
      <x:c r="Q285" s="47" t="str">
        <x:f>IF(C285="","",IF(OR(J285&gt;IFERROR(INDEX('Normal Parameters'!$G$5:$G$104,MATCH(1,('Normal Parameters'!$A$5:$A$104=D285)*('Normal Parameters'!$B$5:$B$104=E285)*('Normal Parameters'!$C$5:$C$104="Behavior Score"),0)),99),F285&lt;IFERROR(INDEX('Normal Parameters'!$E$5:$E$104,MATCH(1,('Normal Parameters'!$A$5:$A$104=D285)*('Normal Parameters'!$B$5:$B$104=E285)*('Normal Parameters'!$C$5:$C$104="Weight"),0)),0),F285&gt;IFERROR(INDEX('Normal Parameters'!$G$5:$G$104,MATCH(1,('Normal Parameters'!$A$5:$A$104=D285)*('Normal Parameters'!$B$5:$B$104=E285)*('Normal Parameters'!$C$5:$C$104="Weight"),0)),9999),I285&lt;IFERROR(INDEX('Normal Parameters'!$E$5:$E$104,MATCH(1,('Normal Parameters'!$A$5:$A$104=D285)*('Normal Parameters'!$B$5:$B$104=E285)*('Normal Parameters'!$C$5:$C$104="Temperature"),0)),0),I285&gt;IFERROR(INDEX('Normal Parameters'!$G$5:$G$104,MATCH(1,('Normal Parameters'!$A$5:$A$104=D285)*('Normal Parameters'!$B$5:$B$104=E285)*('Normal Parameters'!$C$5:$C$104="Temperature"),0)),9999)),"Check","Normal"))</x:f>
      </x:c>
    </x:row>
    <x:row r="286" ht="15" hidden="0" customHeight="1">
      <x:c r="A286" s="74"/>
      <x:c r="B286" s="46"/>
      <x:c r="C286" s="46"/>
      <x:c r="D286" s="46" t="str">
        <x:f>IFERROR(XLOOKUP(C286,'Animals'!$A$5:$A$104,'Animals'!$C$5:$C$104,""),"")</x:f>
      </x:c>
      <x:c r="E286" s="46" t="str">
        <x:f>IFERROR(XLOOKUP(C286,'Animals'!$A$5:$A$104,'Animals'!$H$5:$H$104,""),"")</x:f>
      </x:c>
      <x:c r="F286" s="71"/>
      <x:c r="G286" s="71"/>
      <x:c r="H286" s="71"/>
      <x:c r="I286" s="71"/>
      <x:c r="J286" s="71"/>
      <x:c r="K286" s="46"/>
      <x:c r="L286" s="46"/>
      <x:c r="M286" s="46"/>
      <x:c r="N286" s="46"/>
      <x:c r="O286" s="46"/>
      <x:c r="P286" s="46"/>
      <x:c r="Q286" s="47" t="str">
        <x:f>IF(C286="","",IF(OR(J286&gt;IFERROR(INDEX('Normal Parameters'!$G$5:$G$104,MATCH(1,('Normal Parameters'!$A$5:$A$104=D286)*('Normal Parameters'!$B$5:$B$104=E286)*('Normal Parameters'!$C$5:$C$104="Behavior Score"),0)),99),F286&lt;IFERROR(INDEX('Normal Parameters'!$E$5:$E$104,MATCH(1,('Normal Parameters'!$A$5:$A$104=D286)*('Normal Parameters'!$B$5:$B$104=E286)*('Normal Parameters'!$C$5:$C$104="Weight"),0)),0),F286&gt;IFERROR(INDEX('Normal Parameters'!$G$5:$G$104,MATCH(1,('Normal Parameters'!$A$5:$A$104=D286)*('Normal Parameters'!$B$5:$B$104=E286)*('Normal Parameters'!$C$5:$C$104="Weight"),0)),9999),I286&lt;IFERROR(INDEX('Normal Parameters'!$E$5:$E$104,MATCH(1,('Normal Parameters'!$A$5:$A$104=D286)*('Normal Parameters'!$B$5:$B$104=E286)*('Normal Parameters'!$C$5:$C$104="Temperature"),0)),0),I286&gt;IFERROR(INDEX('Normal Parameters'!$G$5:$G$104,MATCH(1,('Normal Parameters'!$A$5:$A$104=D286)*('Normal Parameters'!$B$5:$B$104=E286)*('Normal Parameters'!$C$5:$C$104="Temperature"),0)),9999)),"Check","Normal"))</x:f>
      </x:c>
    </x:row>
    <x:row r="287" ht="15" hidden="0" customHeight="1">
      <x:c r="A287" s="74"/>
      <x:c r="B287" s="46"/>
      <x:c r="C287" s="46"/>
      <x:c r="D287" s="46" t="str">
        <x:f>IFERROR(XLOOKUP(C287,'Animals'!$A$5:$A$104,'Animals'!$C$5:$C$104,""),"")</x:f>
      </x:c>
      <x:c r="E287" s="46" t="str">
        <x:f>IFERROR(XLOOKUP(C287,'Animals'!$A$5:$A$104,'Animals'!$H$5:$H$104,""),"")</x:f>
      </x:c>
      <x:c r="F287" s="71"/>
      <x:c r="G287" s="71"/>
      <x:c r="H287" s="71"/>
      <x:c r="I287" s="71"/>
      <x:c r="J287" s="71"/>
      <x:c r="K287" s="46"/>
      <x:c r="L287" s="46"/>
      <x:c r="M287" s="46"/>
      <x:c r="N287" s="46"/>
      <x:c r="O287" s="46"/>
      <x:c r="P287" s="46"/>
      <x:c r="Q287" s="47" t="str">
        <x:f>IF(C287="","",IF(OR(J287&gt;IFERROR(INDEX('Normal Parameters'!$G$5:$G$104,MATCH(1,('Normal Parameters'!$A$5:$A$104=D287)*('Normal Parameters'!$B$5:$B$104=E287)*('Normal Parameters'!$C$5:$C$104="Behavior Score"),0)),99),F287&lt;IFERROR(INDEX('Normal Parameters'!$E$5:$E$104,MATCH(1,('Normal Parameters'!$A$5:$A$104=D287)*('Normal Parameters'!$B$5:$B$104=E287)*('Normal Parameters'!$C$5:$C$104="Weight"),0)),0),F287&gt;IFERROR(INDEX('Normal Parameters'!$G$5:$G$104,MATCH(1,('Normal Parameters'!$A$5:$A$104=D287)*('Normal Parameters'!$B$5:$B$104=E287)*('Normal Parameters'!$C$5:$C$104="Weight"),0)),9999),I287&lt;IFERROR(INDEX('Normal Parameters'!$E$5:$E$104,MATCH(1,('Normal Parameters'!$A$5:$A$104=D287)*('Normal Parameters'!$B$5:$B$104=E287)*('Normal Parameters'!$C$5:$C$104="Temperature"),0)),0),I287&gt;IFERROR(INDEX('Normal Parameters'!$G$5:$G$104,MATCH(1,('Normal Parameters'!$A$5:$A$104=D287)*('Normal Parameters'!$B$5:$B$104=E287)*('Normal Parameters'!$C$5:$C$104="Temperature"),0)),9999)),"Check","Normal"))</x:f>
      </x:c>
    </x:row>
    <x:row r="288" ht="15" hidden="0" customHeight="1">
      <x:c r="A288" s="74"/>
      <x:c r="B288" s="46"/>
      <x:c r="C288" s="46"/>
      <x:c r="D288" s="46" t="str">
        <x:f>IFERROR(XLOOKUP(C288,'Animals'!$A$5:$A$104,'Animals'!$C$5:$C$104,""),"")</x:f>
      </x:c>
      <x:c r="E288" s="46" t="str">
        <x:f>IFERROR(XLOOKUP(C288,'Animals'!$A$5:$A$104,'Animals'!$H$5:$H$104,""),"")</x:f>
      </x:c>
      <x:c r="F288" s="71"/>
      <x:c r="G288" s="71"/>
      <x:c r="H288" s="71"/>
      <x:c r="I288" s="71"/>
      <x:c r="J288" s="71"/>
      <x:c r="K288" s="46"/>
      <x:c r="L288" s="46"/>
      <x:c r="M288" s="46"/>
      <x:c r="N288" s="46"/>
      <x:c r="O288" s="46"/>
      <x:c r="P288" s="46"/>
      <x:c r="Q288" s="47" t="str">
        <x:f>IF(C288="","",IF(OR(J288&gt;IFERROR(INDEX('Normal Parameters'!$G$5:$G$104,MATCH(1,('Normal Parameters'!$A$5:$A$104=D288)*('Normal Parameters'!$B$5:$B$104=E288)*('Normal Parameters'!$C$5:$C$104="Behavior Score"),0)),99),F288&lt;IFERROR(INDEX('Normal Parameters'!$E$5:$E$104,MATCH(1,('Normal Parameters'!$A$5:$A$104=D288)*('Normal Parameters'!$B$5:$B$104=E288)*('Normal Parameters'!$C$5:$C$104="Weight"),0)),0),F288&gt;IFERROR(INDEX('Normal Parameters'!$G$5:$G$104,MATCH(1,('Normal Parameters'!$A$5:$A$104=D288)*('Normal Parameters'!$B$5:$B$104=E288)*('Normal Parameters'!$C$5:$C$104="Weight"),0)),9999),I288&lt;IFERROR(INDEX('Normal Parameters'!$E$5:$E$104,MATCH(1,('Normal Parameters'!$A$5:$A$104=D288)*('Normal Parameters'!$B$5:$B$104=E288)*('Normal Parameters'!$C$5:$C$104="Temperature"),0)),0),I288&gt;IFERROR(INDEX('Normal Parameters'!$G$5:$G$104,MATCH(1,('Normal Parameters'!$A$5:$A$104=D288)*('Normal Parameters'!$B$5:$B$104=E288)*('Normal Parameters'!$C$5:$C$104="Temperature"),0)),9999)),"Check","Normal"))</x:f>
      </x:c>
    </x:row>
    <x:row r="289" ht="15" hidden="0" customHeight="1">
      <x:c r="A289" s="74"/>
      <x:c r="B289" s="46"/>
      <x:c r="C289" s="46"/>
      <x:c r="D289" s="46" t="str">
        <x:f>IFERROR(XLOOKUP(C289,'Animals'!$A$5:$A$104,'Animals'!$C$5:$C$104,""),"")</x:f>
      </x:c>
      <x:c r="E289" s="46" t="str">
        <x:f>IFERROR(XLOOKUP(C289,'Animals'!$A$5:$A$104,'Animals'!$H$5:$H$104,""),"")</x:f>
      </x:c>
      <x:c r="F289" s="71"/>
      <x:c r="G289" s="71"/>
      <x:c r="H289" s="71"/>
      <x:c r="I289" s="71"/>
      <x:c r="J289" s="71"/>
      <x:c r="K289" s="46"/>
      <x:c r="L289" s="46"/>
      <x:c r="M289" s="46"/>
      <x:c r="N289" s="46"/>
      <x:c r="O289" s="46"/>
      <x:c r="P289" s="46"/>
      <x:c r="Q289" s="47" t="str">
        <x:f>IF(C289="","",IF(OR(J289&gt;IFERROR(INDEX('Normal Parameters'!$G$5:$G$104,MATCH(1,('Normal Parameters'!$A$5:$A$104=D289)*('Normal Parameters'!$B$5:$B$104=E289)*('Normal Parameters'!$C$5:$C$104="Behavior Score"),0)),99),F289&lt;IFERROR(INDEX('Normal Parameters'!$E$5:$E$104,MATCH(1,('Normal Parameters'!$A$5:$A$104=D289)*('Normal Parameters'!$B$5:$B$104=E289)*('Normal Parameters'!$C$5:$C$104="Weight"),0)),0),F289&gt;IFERROR(INDEX('Normal Parameters'!$G$5:$G$104,MATCH(1,('Normal Parameters'!$A$5:$A$104=D289)*('Normal Parameters'!$B$5:$B$104=E289)*('Normal Parameters'!$C$5:$C$104="Weight"),0)),9999),I289&lt;IFERROR(INDEX('Normal Parameters'!$E$5:$E$104,MATCH(1,('Normal Parameters'!$A$5:$A$104=D289)*('Normal Parameters'!$B$5:$B$104=E289)*('Normal Parameters'!$C$5:$C$104="Temperature"),0)),0),I289&gt;IFERROR(INDEX('Normal Parameters'!$G$5:$G$104,MATCH(1,('Normal Parameters'!$A$5:$A$104=D289)*('Normal Parameters'!$B$5:$B$104=E289)*('Normal Parameters'!$C$5:$C$104="Temperature"),0)),9999)),"Check","Normal"))</x:f>
      </x:c>
    </x:row>
    <x:row r="290" ht="15" hidden="0" customHeight="1">
      <x:c r="A290" s="74"/>
      <x:c r="B290" s="46"/>
      <x:c r="C290" s="46"/>
      <x:c r="D290" s="46" t="str">
        <x:f>IFERROR(XLOOKUP(C290,'Animals'!$A$5:$A$104,'Animals'!$C$5:$C$104,""),"")</x:f>
      </x:c>
      <x:c r="E290" s="46" t="str">
        <x:f>IFERROR(XLOOKUP(C290,'Animals'!$A$5:$A$104,'Animals'!$H$5:$H$104,""),"")</x:f>
      </x:c>
      <x:c r="F290" s="71"/>
      <x:c r="G290" s="71"/>
      <x:c r="H290" s="71"/>
      <x:c r="I290" s="71"/>
      <x:c r="J290" s="71"/>
      <x:c r="K290" s="46"/>
      <x:c r="L290" s="46"/>
      <x:c r="M290" s="46"/>
      <x:c r="N290" s="46"/>
      <x:c r="O290" s="46"/>
      <x:c r="P290" s="46"/>
      <x:c r="Q290" s="47" t="str">
        <x:f>IF(C290="","",IF(OR(J290&gt;IFERROR(INDEX('Normal Parameters'!$G$5:$G$104,MATCH(1,('Normal Parameters'!$A$5:$A$104=D290)*('Normal Parameters'!$B$5:$B$104=E290)*('Normal Parameters'!$C$5:$C$104="Behavior Score"),0)),99),F290&lt;IFERROR(INDEX('Normal Parameters'!$E$5:$E$104,MATCH(1,('Normal Parameters'!$A$5:$A$104=D290)*('Normal Parameters'!$B$5:$B$104=E290)*('Normal Parameters'!$C$5:$C$104="Weight"),0)),0),F290&gt;IFERROR(INDEX('Normal Parameters'!$G$5:$G$104,MATCH(1,('Normal Parameters'!$A$5:$A$104=D290)*('Normal Parameters'!$B$5:$B$104=E290)*('Normal Parameters'!$C$5:$C$104="Weight"),0)),9999),I290&lt;IFERROR(INDEX('Normal Parameters'!$E$5:$E$104,MATCH(1,('Normal Parameters'!$A$5:$A$104=D290)*('Normal Parameters'!$B$5:$B$104=E290)*('Normal Parameters'!$C$5:$C$104="Temperature"),0)),0),I290&gt;IFERROR(INDEX('Normal Parameters'!$G$5:$G$104,MATCH(1,('Normal Parameters'!$A$5:$A$104=D290)*('Normal Parameters'!$B$5:$B$104=E290)*('Normal Parameters'!$C$5:$C$104="Temperature"),0)),9999)),"Check","Normal"))</x:f>
      </x:c>
    </x:row>
    <x:row r="291" ht="15" hidden="0" customHeight="1">
      <x:c r="A291" s="74"/>
      <x:c r="B291" s="46"/>
      <x:c r="C291" s="46"/>
      <x:c r="D291" s="46" t="str">
        <x:f>IFERROR(XLOOKUP(C291,'Animals'!$A$5:$A$104,'Animals'!$C$5:$C$104,""),"")</x:f>
      </x:c>
      <x:c r="E291" s="46" t="str">
        <x:f>IFERROR(XLOOKUP(C291,'Animals'!$A$5:$A$104,'Animals'!$H$5:$H$104,""),"")</x:f>
      </x:c>
      <x:c r="F291" s="71"/>
      <x:c r="G291" s="71"/>
      <x:c r="H291" s="71"/>
      <x:c r="I291" s="71"/>
      <x:c r="J291" s="71"/>
      <x:c r="K291" s="46"/>
      <x:c r="L291" s="46"/>
      <x:c r="M291" s="46"/>
      <x:c r="N291" s="46"/>
      <x:c r="O291" s="46"/>
      <x:c r="P291" s="46"/>
      <x:c r="Q291" s="47" t="str">
        <x:f>IF(C291="","",IF(OR(J291&gt;IFERROR(INDEX('Normal Parameters'!$G$5:$G$104,MATCH(1,('Normal Parameters'!$A$5:$A$104=D291)*('Normal Parameters'!$B$5:$B$104=E291)*('Normal Parameters'!$C$5:$C$104="Behavior Score"),0)),99),F291&lt;IFERROR(INDEX('Normal Parameters'!$E$5:$E$104,MATCH(1,('Normal Parameters'!$A$5:$A$104=D291)*('Normal Parameters'!$B$5:$B$104=E291)*('Normal Parameters'!$C$5:$C$104="Weight"),0)),0),F291&gt;IFERROR(INDEX('Normal Parameters'!$G$5:$G$104,MATCH(1,('Normal Parameters'!$A$5:$A$104=D291)*('Normal Parameters'!$B$5:$B$104=E291)*('Normal Parameters'!$C$5:$C$104="Weight"),0)),9999),I291&lt;IFERROR(INDEX('Normal Parameters'!$E$5:$E$104,MATCH(1,('Normal Parameters'!$A$5:$A$104=D291)*('Normal Parameters'!$B$5:$B$104=E291)*('Normal Parameters'!$C$5:$C$104="Temperature"),0)),0),I291&gt;IFERROR(INDEX('Normal Parameters'!$G$5:$G$104,MATCH(1,('Normal Parameters'!$A$5:$A$104=D291)*('Normal Parameters'!$B$5:$B$104=E291)*('Normal Parameters'!$C$5:$C$104="Temperature"),0)),9999)),"Check","Normal"))</x:f>
      </x:c>
    </x:row>
    <x:row r="292" ht="15" hidden="0" customHeight="1">
      <x:c r="A292" s="74"/>
      <x:c r="B292" s="46"/>
      <x:c r="C292" s="46"/>
      <x:c r="D292" s="46" t="str">
        <x:f>IFERROR(XLOOKUP(C292,'Animals'!$A$5:$A$104,'Animals'!$C$5:$C$104,""),"")</x:f>
      </x:c>
      <x:c r="E292" s="46" t="str">
        <x:f>IFERROR(XLOOKUP(C292,'Animals'!$A$5:$A$104,'Animals'!$H$5:$H$104,""),"")</x:f>
      </x:c>
      <x:c r="F292" s="71"/>
      <x:c r="G292" s="71"/>
      <x:c r="H292" s="71"/>
      <x:c r="I292" s="71"/>
      <x:c r="J292" s="71"/>
      <x:c r="K292" s="46"/>
      <x:c r="L292" s="46"/>
      <x:c r="M292" s="46"/>
      <x:c r="N292" s="46"/>
      <x:c r="O292" s="46"/>
      <x:c r="P292" s="46"/>
      <x:c r="Q292" s="47" t="str">
        <x:f>IF(C292="","",IF(OR(J292&gt;IFERROR(INDEX('Normal Parameters'!$G$5:$G$104,MATCH(1,('Normal Parameters'!$A$5:$A$104=D292)*('Normal Parameters'!$B$5:$B$104=E292)*('Normal Parameters'!$C$5:$C$104="Behavior Score"),0)),99),F292&lt;IFERROR(INDEX('Normal Parameters'!$E$5:$E$104,MATCH(1,('Normal Parameters'!$A$5:$A$104=D292)*('Normal Parameters'!$B$5:$B$104=E292)*('Normal Parameters'!$C$5:$C$104="Weight"),0)),0),F292&gt;IFERROR(INDEX('Normal Parameters'!$G$5:$G$104,MATCH(1,('Normal Parameters'!$A$5:$A$104=D292)*('Normal Parameters'!$B$5:$B$104=E292)*('Normal Parameters'!$C$5:$C$104="Weight"),0)),9999),I292&lt;IFERROR(INDEX('Normal Parameters'!$E$5:$E$104,MATCH(1,('Normal Parameters'!$A$5:$A$104=D292)*('Normal Parameters'!$B$5:$B$104=E292)*('Normal Parameters'!$C$5:$C$104="Temperature"),0)),0),I292&gt;IFERROR(INDEX('Normal Parameters'!$G$5:$G$104,MATCH(1,('Normal Parameters'!$A$5:$A$104=D292)*('Normal Parameters'!$B$5:$B$104=E292)*('Normal Parameters'!$C$5:$C$104="Temperature"),0)),9999)),"Check","Normal"))</x:f>
      </x:c>
    </x:row>
    <x:row r="293" ht="15" hidden="0" customHeight="1">
      <x:c r="A293" s="74"/>
      <x:c r="B293" s="46"/>
      <x:c r="C293" s="46"/>
      <x:c r="D293" s="46" t="str">
        <x:f>IFERROR(XLOOKUP(C293,'Animals'!$A$5:$A$104,'Animals'!$C$5:$C$104,""),"")</x:f>
      </x:c>
      <x:c r="E293" s="46" t="str">
        <x:f>IFERROR(XLOOKUP(C293,'Animals'!$A$5:$A$104,'Animals'!$H$5:$H$104,""),"")</x:f>
      </x:c>
      <x:c r="F293" s="71"/>
      <x:c r="G293" s="71"/>
      <x:c r="H293" s="71"/>
      <x:c r="I293" s="71"/>
      <x:c r="J293" s="71"/>
      <x:c r="K293" s="46"/>
      <x:c r="L293" s="46"/>
      <x:c r="M293" s="46"/>
      <x:c r="N293" s="46"/>
      <x:c r="O293" s="46"/>
      <x:c r="P293" s="46"/>
      <x:c r="Q293" s="47" t="str">
        <x:f>IF(C293="","",IF(OR(J293&gt;IFERROR(INDEX('Normal Parameters'!$G$5:$G$104,MATCH(1,('Normal Parameters'!$A$5:$A$104=D293)*('Normal Parameters'!$B$5:$B$104=E293)*('Normal Parameters'!$C$5:$C$104="Behavior Score"),0)),99),F293&lt;IFERROR(INDEX('Normal Parameters'!$E$5:$E$104,MATCH(1,('Normal Parameters'!$A$5:$A$104=D293)*('Normal Parameters'!$B$5:$B$104=E293)*('Normal Parameters'!$C$5:$C$104="Weight"),0)),0),F293&gt;IFERROR(INDEX('Normal Parameters'!$G$5:$G$104,MATCH(1,('Normal Parameters'!$A$5:$A$104=D293)*('Normal Parameters'!$B$5:$B$104=E293)*('Normal Parameters'!$C$5:$C$104="Weight"),0)),9999),I293&lt;IFERROR(INDEX('Normal Parameters'!$E$5:$E$104,MATCH(1,('Normal Parameters'!$A$5:$A$104=D293)*('Normal Parameters'!$B$5:$B$104=E293)*('Normal Parameters'!$C$5:$C$104="Temperature"),0)),0),I293&gt;IFERROR(INDEX('Normal Parameters'!$G$5:$G$104,MATCH(1,('Normal Parameters'!$A$5:$A$104=D293)*('Normal Parameters'!$B$5:$B$104=E293)*('Normal Parameters'!$C$5:$C$104="Temperature"),0)),9999)),"Check","Normal"))</x:f>
      </x:c>
    </x:row>
    <x:row r="294" ht="15" hidden="0" customHeight="1">
      <x:c r="A294" s="74"/>
      <x:c r="B294" s="46"/>
      <x:c r="C294" s="46"/>
      <x:c r="D294" s="46" t="str">
        <x:f>IFERROR(XLOOKUP(C294,'Animals'!$A$5:$A$104,'Animals'!$C$5:$C$104,""),"")</x:f>
      </x:c>
      <x:c r="E294" s="46" t="str">
        <x:f>IFERROR(XLOOKUP(C294,'Animals'!$A$5:$A$104,'Animals'!$H$5:$H$104,""),"")</x:f>
      </x:c>
      <x:c r="F294" s="71"/>
      <x:c r="G294" s="71"/>
      <x:c r="H294" s="71"/>
      <x:c r="I294" s="71"/>
      <x:c r="J294" s="71"/>
      <x:c r="K294" s="46"/>
      <x:c r="L294" s="46"/>
      <x:c r="M294" s="46"/>
      <x:c r="N294" s="46"/>
      <x:c r="O294" s="46"/>
      <x:c r="P294" s="46"/>
      <x:c r="Q294" s="47" t="str">
        <x:f>IF(C294="","",IF(OR(J294&gt;IFERROR(INDEX('Normal Parameters'!$G$5:$G$104,MATCH(1,('Normal Parameters'!$A$5:$A$104=D294)*('Normal Parameters'!$B$5:$B$104=E294)*('Normal Parameters'!$C$5:$C$104="Behavior Score"),0)),99),F294&lt;IFERROR(INDEX('Normal Parameters'!$E$5:$E$104,MATCH(1,('Normal Parameters'!$A$5:$A$104=D294)*('Normal Parameters'!$B$5:$B$104=E294)*('Normal Parameters'!$C$5:$C$104="Weight"),0)),0),F294&gt;IFERROR(INDEX('Normal Parameters'!$G$5:$G$104,MATCH(1,('Normal Parameters'!$A$5:$A$104=D294)*('Normal Parameters'!$B$5:$B$104=E294)*('Normal Parameters'!$C$5:$C$104="Weight"),0)),9999),I294&lt;IFERROR(INDEX('Normal Parameters'!$E$5:$E$104,MATCH(1,('Normal Parameters'!$A$5:$A$104=D294)*('Normal Parameters'!$B$5:$B$104=E294)*('Normal Parameters'!$C$5:$C$104="Temperature"),0)),0),I294&gt;IFERROR(INDEX('Normal Parameters'!$G$5:$G$104,MATCH(1,('Normal Parameters'!$A$5:$A$104=D294)*('Normal Parameters'!$B$5:$B$104=E294)*('Normal Parameters'!$C$5:$C$104="Temperature"),0)),9999)),"Check","Normal"))</x:f>
      </x:c>
    </x:row>
    <x:row r="295" ht="15" hidden="0" customHeight="1">
      <x:c r="A295" s="74"/>
      <x:c r="B295" s="46"/>
      <x:c r="C295" s="46"/>
      <x:c r="D295" s="46" t="str">
        <x:f>IFERROR(XLOOKUP(C295,'Animals'!$A$5:$A$104,'Animals'!$C$5:$C$104,""),"")</x:f>
      </x:c>
      <x:c r="E295" s="46" t="str">
        <x:f>IFERROR(XLOOKUP(C295,'Animals'!$A$5:$A$104,'Animals'!$H$5:$H$104,""),"")</x:f>
      </x:c>
      <x:c r="F295" s="71"/>
      <x:c r="G295" s="71"/>
      <x:c r="H295" s="71"/>
      <x:c r="I295" s="71"/>
      <x:c r="J295" s="71"/>
      <x:c r="K295" s="46"/>
      <x:c r="L295" s="46"/>
      <x:c r="M295" s="46"/>
      <x:c r="N295" s="46"/>
      <x:c r="O295" s="46"/>
      <x:c r="P295" s="46"/>
      <x:c r="Q295" s="47" t="str">
        <x:f>IF(C295="","",IF(OR(J295&gt;IFERROR(INDEX('Normal Parameters'!$G$5:$G$104,MATCH(1,('Normal Parameters'!$A$5:$A$104=D295)*('Normal Parameters'!$B$5:$B$104=E295)*('Normal Parameters'!$C$5:$C$104="Behavior Score"),0)),99),F295&lt;IFERROR(INDEX('Normal Parameters'!$E$5:$E$104,MATCH(1,('Normal Parameters'!$A$5:$A$104=D295)*('Normal Parameters'!$B$5:$B$104=E295)*('Normal Parameters'!$C$5:$C$104="Weight"),0)),0),F295&gt;IFERROR(INDEX('Normal Parameters'!$G$5:$G$104,MATCH(1,('Normal Parameters'!$A$5:$A$104=D295)*('Normal Parameters'!$B$5:$B$104=E295)*('Normal Parameters'!$C$5:$C$104="Weight"),0)),9999),I295&lt;IFERROR(INDEX('Normal Parameters'!$E$5:$E$104,MATCH(1,('Normal Parameters'!$A$5:$A$104=D295)*('Normal Parameters'!$B$5:$B$104=E295)*('Normal Parameters'!$C$5:$C$104="Temperature"),0)),0),I295&gt;IFERROR(INDEX('Normal Parameters'!$G$5:$G$104,MATCH(1,('Normal Parameters'!$A$5:$A$104=D295)*('Normal Parameters'!$B$5:$B$104=E295)*('Normal Parameters'!$C$5:$C$104="Temperature"),0)),9999)),"Check","Normal"))</x:f>
      </x:c>
    </x:row>
    <x:row r="296" ht="15" hidden="0" customHeight="1">
      <x:c r="A296" s="74"/>
      <x:c r="B296" s="46"/>
      <x:c r="C296" s="46"/>
      <x:c r="D296" s="46" t="str">
        <x:f>IFERROR(XLOOKUP(C296,'Animals'!$A$5:$A$104,'Animals'!$C$5:$C$104,""),"")</x:f>
      </x:c>
      <x:c r="E296" s="46" t="str">
        <x:f>IFERROR(XLOOKUP(C296,'Animals'!$A$5:$A$104,'Animals'!$H$5:$H$104,""),"")</x:f>
      </x:c>
      <x:c r="F296" s="71"/>
      <x:c r="G296" s="71"/>
      <x:c r="H296" s="71"/>
      <x:c r="I296" s="71"/>
      <x:c r="J296" s="71"/>
      <x:c r="K296" s="46"/>
      <x:c r="L296" s="46"/>
      <x:c r="M296" s="46"/>
      <x:c r="N296" s="46"/>
      <x:c r="O296" s="46"/>
      <x:c r="P296" s="46"/>
      <x:c r="Q296" s="47" t="str">
        <x:f>IF(C296="","",IF(OR(J296&gt;IFERROR(INDEX('Normal Parameters'!$G$5:$G$104,MATCH(1,('Normal Parameters'!$A$5:$A$104=D296)*('Normal Parameters'!$B$5:$B$104=E296)*('Normal Parameters'!$C$5:$C$104="Behavior Score"),0)),99),F296&lt;IFERROR(INDEX('Normal Parameters'!$E$5:$E$104,MATCH(1,('Normal Parameters'!$A$5:$A$104=D296)*('Normal Parameters'!$B$5:$B$104=E296)*('Normal Parameters'!$C$5:$C$104="Weight"),0)),0),F296&gt;IFERROR(INDEX('Normal Parameters'!$G$5:$G$104,MATCH(1,('Normal Parameters'!$A$5:$A$104=D296)*('Normal Parameters'!$B$5:$B$104=E296)*('Normal Parameters'!$C$5:$C$104="Weight"),0)),9999),I296&lt;IFERROR(INDEX('Normal Parameters'!$E$5:$E$104,MATCH(1,('Normal Parameters'!$A$5:$A$104=D296)*('Normal Parameters'!$B$5:$B$104=E296)*('Normal Parameters'!$C$5:$C$104="Temperature"),0)),0),I296&gt;IFERROR(INDEX('Normal Parameters'!$G$5:$G$104,MATCH(1,('Normal Parameters'!$A$5:$A$104=D296)*('Normal Parameters'!$B$5:$B$104=E296)*('Normal Parameters'!$C$5:$C$104="Temperature"),0)),9999)),"Check","Normal"))</x:f>
      </x:c>
    </x:row>
    <x:row r="297" ht="15" hidden="0" customHeight="1">
      <x:c r="A297" s="74"/>
      <x:c r="B297" s="46"/>
      <x:c r="C297" s="46"/>
      <x:c r="D297" s="46" t="str">
        <x:f>IFERROR(XLOOKUP(C297,'Animals'!$A$5:$A$104,'Animals'!$C$5:$C$104,""),"")</x:f>
      </x:c>
      <x:c r="E297" s="46" t="str">
        <x:f>IFERROR(XLOOKUP(C297,'Animals'!$A$5:$A$104,'Animals'!$H$5:$H$104,""),"")</x:f>
      </x:c>
      <x:c r="F297" s="71"/>
      <x:c r="G297" s="71"/>
      <x:c r="H297" s="71"/>
      <x:c r="I297" s="71"/>
      <x:c r="J297" s="71"/>
      <x:c r="K297" s="46"/>
      <x:c r="L297" s="46"/>
      <x:c r="M297" s="46"/>
      <x:c r="N297" s="46"/>
      <x:c r="O297" s="46"/>
      <x:c r="P297" s="46"/>
      <x:c r="Q297" s="47" t="str">
        <x:f>IF(C297="","",IF(OR(J297&gt;IFERROR(INDEX('Normal Parameters'!$G$5:$G$104,MATCH(1,('Normal Parameters'!$A$5:$A$104=D297)*('Normal Parameters'!$B$5:$B$104=E297)*('Normal Parameters'!$C$5:$C$104="Behavior Score"),0)),99),F297&lt;IFERROR(INDEX('Normal Parameters'!$E$5:$E$104,MATCH(1,('Normal Parameters'!$A$5:$A$104=D297)*('Normal Parameters'!$B$5:$B$104=E297)*('Normal Parameters'!$C$5:$C$104="Weight"),0)),0),F297&gt;IFERROR(INDEX('Normal Parameters'!$G$5:$G$104,MATCH(1,('Normal Parameters'!$A$5:$A$104=D297)*('Normal Parameters'!$B$5:$B$104=E297)*('Normal Parameters'!$C$5:$C$104="Weight"),0)),9999),I297&lt;IFERROR(INDEX('Normal Parameters'!$E$5:$E$104,MATCH(1,('Normal Parameters'!$A$5:$A$104=D297)*('Normal Parameters'!$B$5:$B$104=E297)*('Normal Parameters'!$C$5:$C$104="Temperature"),0)),0),I297&gt;IFERROR(INDEX('Normal Parameters'!$G$5:$G$104,MATCH(1,('Normal Parameters'!$A$5:$A$104=D297)*('Normal Parameters'!$B$5:$B$104=E297)*('Normal Parameters'!$C$5:$C$104="Temperature"),0)),9999)),"Check","Normal"))</x:f>
      </x:c>
    </x:row>
    <x:row r="298" ht="15" hidden="0" customHeight="1">
      <x:c r="A298" s="74"/>
      <x:c r="B298" s="46"/>
      <x:c r="C298" s="46"/>
      <x:c r="D298" s="46" t="str">
        <x:f>IFERROR(XLOOKUP(C298,'Animals'!$A$5:$A$104,'Animals'!$C$5:$C$104,""),"")</x:f>
      </x:c>
      <x:c r="E298" s="46" t="str">
        <x:f>IFERROR(XLOOKUP(C298,'Animals'!$A$5:$A$104,'Animals'!$H$5:$H$104,""),"")</x:f>
      </x:c>
      <x:c r="F298" s="71"/>
      <x:c r="G298" s="71"/>
      <x:c r="H298" s="71"/>
      <x:c r="I298" s="71"/>
      <x:c r="J298" s="71"/>
      <x:c r="K298" s="46"/>
      <x:c r="L298" s="46"/>
      <x:c r="M298" s="46"/>
      <x:c r="N298" s="46"/>
      <x:c r="O298" s="46"/>
      <x:c r="P298" s="46"/>
      <x:c r="Q298" s="47" t="str">
        <x:f>IF(C298="","",IF(OR(J298&gt;IFERROR(INDEX('Normal Parameters'!$G$5:$G$104,MATCH(1,('Normal Parameters'!$A$5:$A$104=D298)*('Normal Parameters'!$B$5:$B$104=E298)*('Normal Parameters'!$C$5:$C$104="Behavior Score"),0)),99),F298&lt;IFERROR(INDEX('Normal Parameters'!$E$5:$E$104,MATCH(1,('Normal Parameters'!$A$5:$A$104=D298)*('Normal Parameters'!$B$5:$B$104=E298)*('Normal Parameters'!$C$5:$C$104="Weight"),0)),0),F298&gt;IFERROR(INDEX('Normal Parameters'!$G$5:$G$104,MATCH(1,('Normal Parameters'!$A$5:$A$104=D298)*('Normal Parameters'!$B$5:$B$104=E298)*('Normal Parameters'!$C$5:$C$104="Weight"),0)),9999),I298&lt;IFERROR(INDEX('Normal Parameters'!$E$5:$E$104,MATCH(1,('Normal Parameters'!$A$5:$A$104=D298)*('Normal Parameters'!$B$5:$B$104=E298)*('Normal Parameters'!$C$5:$C$104="Temperature"),0)),0),I298&gt;IFERROR(INDEX('Normal Parameters'!$G$5:$G$104,MATCH(1,('Normal Parameters'!$A$5:$A$104=D298)*('Normal Parameters'!$B$5:$B$104=E298)*('Normal Parameters'!$C$5:$C$104="Temperature"),0)),9999)),"Check","Normal"))</x:f>
      </x:c>
    </x:row>
    <x:row r="299" ht="15" hidden="0" customHeight="1">
      <x:c r="A299" s="74"/>
      <x:c r="B299" s="46"/>
      <x:c r="C299" s="46"/>
      <x:c r="D299" s="46" t="str">
        <x:f>IFERROR(XLOOKUP(C299,'Animals'!$A$5:$A$104,'Animals'!$C$5:$C$104,""),"")</x:f>
      </x:c>
      <x:c r="E299" s="46" t="str">
        <x:f>IFERROR(XLOOKUP(C299,'Animals'!$A$5:$A$104,'Animals'!$H$5:$H$104,""),"")</x:f>
      </x:c>
      <x:c r="F299" s="71"/>
      <x:c r="G299" s="71"/>
      <x:c r="H299" s="71"/>
      <x:c r="I299" s="71"/>
      <x:c r="J299" s="71"/>
      <x:c r="K299" s="46"/>
      <x:c r="L299" s="46"/>
      <x:c r="M299" s="46"/>
      <x:c r="N299" s="46"/>
      <x:c r="O299" s="46"/>
      <x:c r="P299" s="46"/>
      <x:c r="Q299" s="47" t="str">
        <x:f>IF(C299="","",IF(OR(J299&gt;IFERROR(INDEX('Normal Parameters'!$G$5:$G$104,MATCH(1,('Normal Parameters'!$A$5:$A$104=D299)*('Normal Parameters'!$B$5:$B$104=E299)*('Normal Parameters'!$C$5:$C$104="Behavior Score"),0)),99),F299&lt;IFERROR(INDEX('Normal Parameters'!$E$5:$E$104,MATCH(1,('Normal Parameters'!$A$5:$A$104=D299)*('Normal Parameters'!$B$5:$B$104=E299)*('Normal Parameters'!$C$5:$C$104="Weight"),0)),0),F299&gt;IFERROR(INDEX('Normal Parameters'!$G$5:$G$104,MATCH(1,('Normal Parameters'!$A$5:$A$104=D299)*('Normal Parameters'!$B$5:$B$104=E299)*('Normal Parameters'!$C$5:$C$104="Weight"),0)),9999),I299&lt;IFERROR(INDEX('Normal Parameters'!$E$5:$E$104,MATCH(1,('Normal Parameters'!$A$5:$A$104=D299)*('Normal Parameters'!$B$5:$B$104=E299)*('Normal Parameters'!$C$5:$C$104="Temperature"),0)),0),I299&gt;IFERROR(INDEX('Normal Parameters'!$G$5:$G$104,MATCH(1,('Normal Parameters'!$A$5:$A$104=D299)*('Normal Parameters'!$B$5:$B$104=E299)*('Normal Parameters'!$C$5:$C$104="Temperature"),0)),9999)),"Check","Normal"))</x:f>
      </x:c>
    </x:row>
    <x:row r="300" ht="15" hidden="0" customHeight="1">
      <x:c r="A300" s="74"/>
      <x:c r="B300" s="46"/>
      <x:c r="C300" s="46"/>
      <x:c r="D300" s="46" t="str">
        <x:f>IFERROR(XLOOKUP(C300,'Animals'!$A$5:$A$104,'Animals'!$C$5:$C$104,""),"")</x:f>
      </x:c>
      <x:c r="E300" s="46" t="str">
        <x:f>IFERROR(XLOOKUP(C300,'Animals'!$A$5:$A$104,'Animals'!$H$5:$H$104,""),"")</x:f>
      </x:c>
      <x:c r="F300" s="71"/>
      <x:c r="G300" s="71"/>
      <x:c r="H300" s="71"/>
      <x:c r="I300" s="71"/>
      <x:c r="J300" s="71"/>
      <x:c r="K300" s="46"/>
      <x:c r="L300" s="46"/>
      <x:c r="M300" s="46"/>
      <x:c r="N300" s="46"/>
      <x:c r="O300" s="46"/>
      <x:c r="P300" s="46"/>
      <x:c r="Q300" s="47" t="str">
        <x:f>IF(C300="","",IF(OR(J300&gt;IFERROR(INDEX('Normal Parameters'!$G$5:$G$104,MATCH(1,('Normal Parameters'!$A$5:$A$104=D300)*('Normal Parameters'!$B$5:$B$104=E300)*('Normal Parameters'!$C$5:$C$104="Behavior Score"),0)),99),F300&lt;IFERROR(INDEX('Normal Parameters'!$E$5:$E$104,MATCH(1,('Normal Parameters'!$A$5:$A$104=D300)*('Normal Parameters'!$B$5:$B$104=E300)*('Normal Parameters'!$C$5:$C$104="Weight"),0)),0),F300&gt;IFERROR(INDEX('Normal Parameters'!$G$5:$G$104,MATCH(1,('Normal Parameters'!$A$5:$A$104=D300)*('Normal Parameters'!$B$5:$B$104=E300)*('Normal Parameters'!$C$5:$C$104="Weight"),0)),9999),I300&lt;IFERROR(INDEX('Normal Parameters'!$E$5:$E$104,MATCH(1,('Normal Parameters'!$A$5:$A$104=D300)*('Normal Parameters'!$B$5:$B$104=E300)*('Normal Parameters'!$C$5:$C$104="Temperature"),0)),0),I300&gt;IFERROR(INDEX('Normal Parameters'!$G$5:$G$104,MATCH(1,('Normal Parameters'!$A$5:$A$104=D300)*('Normal Parameters'!$B$5:$B$104=E300)*('Normal Parameters'!$C$5:$C$104="Temperature"),0)),9999)),"Check","Normal"))</x:f>
      </x:c>
    </x:row>
    <x:row r="301" ht="15" hidden="0" customHeight="1">
      <x:c r="A301" s="74"/>
      <x:c r="B301" s="46"/>
      <x:c r="C301" s="46"/>
      <x:c r="D301" s="46" t="str">
        <x:f>IFERROR(XLOOKUP(C301,'Animals'!$A$5:$A$104,'Animals'!$C$5:$C$104,""),"")</x:f>
      </x:c>
      <x:c r="E301" s="46" t="str">
        <x:f>IFERROR(XLOOKUP(C301,'Animals'!$A$5:$A$104,'Animals'!$H$5:$H$104,""),"")</x:f>
      </x:c>
      <x:c r="F301" s="71"/>
      <x:c r="G301" s="71"/>
      <x:c r="H301" s="71"/>
      <x:c r="I301" s="71"/>
      <x:c r="J301" s="71"/>
      <x:c r="K301" s="46"/>
      <x:c r="L301" s="46"/>
      <x:c r="M301" s="46"/>
      <x:c r="N301" s="46"/>
      <x:c r="O301" s="46"/>
      <x:c r="P301" s="46"/>
      <x:c r="Q301" s="47" t="str">
        <x:f>IF(C301="","",IF(OR(J301&gt;IFERROR(INDEX('Normal Parameters'!$G$5:$G$104,MATCH(1,('Normal Parameters'!$A$5:$A$104=D301)*('Normal Parameters'!$B$5:$B$104=E301)*('Normal Parameters'!$C$5:$C$104="Behavior Score"),0)),99),F301&lt;IFERROR(INDEX('Normal Parameters'!$E$5:$E$104,MATCH(1,('Normal Parameters'!$A$5:$A$104=D301)*('Normal Parameters'!$B$5:$B$104=E301)*('Normal Parameters'!$C$5:$C$104="Weight"),0)),0),F301&gt;IFERROR(INDEX('Normal Parameters'!$G$5:$G$104,MATCH(1,('Normal Parameters'!$A$5:$A$104=D301)*('Normal Parameters'!$B$5:$B$104=E301)*('Normal Parameters'!$C$5:$C$104="Weight"),0)),9999),I301&lt;IFERROR(INDEX('Normal Parameters'!$E$5:$E$104,MATCH(1,('Normal Parameters'!$A$5:$A$104=D301)*('Normal Parameters'!$B$5:$B$104=E301)*('Normal Parameters'!$C$5:$C$104="Temperature"),0)),0),I301&gt;IFERROR(INDEX('Normal Parameters'!$G$5:$G$104,MATCH(1,('Normal Parameters'!$A$5:$A$104=D301)*('Normal Parameters'!$B$5:$B$104=E301)*('Normal Parameters'!$C$5:$C$104="Temperature"),0)),9999)),"Check","Normal"))</x:f>
      </x:c>
    </x:row>
    <x:row r="302" ht="15" hidden="0" customHeight="1">
      <x:c r="A302" s="74"/>
      <x:c r="B302" s="46"/>
      <x:c r="C302" s="46"/>
      <x:c r="D302" s="46" t="str">
        <x:f>IFERROR(XLOOKUP(C302,'Animals'!$A$5:$A$104,'Animals'!$C$5:$C$104,""),"")</x:f>
      </x:c>
      <x:c r="E302" s="46" t="str">
        <x:f>IFERROR(XLOOKUP(C302,'Animals'!$A$5:$A$104,'Animals'!$H$5:$H$104,""),"")</x:f>
      </x:c>
      <x:c r="F302" s="71"/>
      <x:c r="G302" s="71"/>
      <x:c r="H302" s="71"/>
      <x:c r="I302" s="71"/>
      <x:c r="J302" s="71"/>
      <x:c r="K302" s="46"/>
      <x:c r="L302" s="46"/>
      <x:c r="M302" s="46"/>
      <x:c r="N302" s="46"/>
      <x:c r="O302" s="46"/>
      <x:c r="P302" s="46"/>
      <x:c r="Q302" s="47" t="str">
        <x:f>IF(C302="","",IF(OR(J302&gt;IFERROR(INDEX('Normal Parameters'!$G$5:$G$104,MATCH(1,('Normal Parameters'!$A$5:$A$104=D302)*('Normal Parameters'!$B$5:$B$104=E302)*('Normal Parameters'!$C$5:$C$104="Behavior Score"),0)),99),F302&lt;IFERROR(INDEX('Normal Parameters'!$E$5:$E$104,MATCH(1,('Normal Parameters'!$A$5:$A$104=D302)*('Normal Parameters'!$B$5:$B$104=E302)*('Normal Parameters'!$C$5:$C$104="Weight"),0)),0),F302&gt;IFERROR(INDEX('Normal Parameters'!$G$5:$G$104,MATCH(1,('Normal Parameters'!$A$5:$A$104=D302)*('Normal Parameters'!$B$5:$B$104=E302)*('Normal Parameters'!$C$5:$C$104="Weight"),0)),9999),I302&lt;IFERROR(INDEX('Normal Parameters'!$E$5:$E$104,MATCH(1,('Normal Parameters'!$A$5:$A$104=D302)*('Normal Parameters'!$B$5:$B$104=E302)*('Normal Parameters'!$C$5:$C$104="Temperature"),0)),0),I302&gt;IFERROR(INDEX('Normal Parameters'!$G$5:$G$104,MATCH(1,('Normal Parameters'!$A$5:$A$104=D302)*('Normal Parameters'!$B$5:$B$104=E302)*('Normal Parameters'!$C$5:$C$104="Temperature"),0)),9999)),"Check","Normal"))</x:f>
      </x:c>
    </x:row>
    <x:row r="303" ht="15" hidden="0" customHeight="1">
      <x:c r="A303" s="74"/>
      <x:c r="B303" s="46"/>
      <x:c r="C303" s="46"/>
      <x:c r="D303" s="46" t="str">
        <x:f>IFERROR(XLOOKUP(C303,'Animals'!$A$5:$A$104,'Animals'!$C$5:$C$104,""),"")</x:f>
      </x:c>
      <x:c r="E303" s="46" t="str">
        <x:f>IFERROR(XLOOKUP(C303,'Animals'!$A$5:$A$104,'Animals'!$H$5:$H$104,""),"")</x:f>
      </x:c>
      <x:c r="F303" s="71"/>
      <x:c r="G303" s="71"/>
      <x:c r="H303" s="71"/>
      <x:c r="I303" s="71"/>
      <x:c r="J303" s="71"/>
      <x:c r="K303" s="46"/>
      <x:c r="L303" s="46"/>
      <x:c r="M303" s="46"/>
      <x:c r="N303" s="46"/>
      <x:c r="O303" s="46"/>
      <x:c r="P303" s="46"/>
      <x:c r="Q303" s="47" t="str">
        <x:f>IF(C303="","",IF(OR(J303&gt;IFERROR(INDEX('Normal Parameters'!$G$5:$G$104,MATCH(1,('Normal Parameters'!$A$5:$A$104=D303)*('Normal Parameters'!$B$5:$B$104=E303)*('Normal Parameters'!$C$5:$C$104="Behavior Score"),0)),99),F303&lt;IFERROR(INDEX('Normal Parameters'!$E$5:$E$104,MATCH(1,('Normal Parameters'!$A$5:$A$104=D303)*('Normal Parameters'!$B$5:$B$104=E303)*('Normal Parameters'!$C$5:$C$104="Weight"),0)),0),F303&gt;IFERROR(INDEX('Normal Parameters'!$G$5:$G$104,MATCH(1,('Normal Parameters'!$A$5:$A$104=D303)*('Normal Parameters'!$B$5:$B$104=E303)*('Normal Parameters'!$C$5:$C$104="Weight"),0)),9999),I303&lt;IFERROR(INDEX('Normal Parameters'!$E$5:$E$104,MATCH(1,('Normal Parameters'!$A$5:$A$104=D303)*('Normal Parameters'!$B$5:$B$104=E303)*('Normal Parameters'!$C$5:$C$104="Temperature"),0)),0),I303&gt;IFERROR(INDEX('Normal Parameters'!$G$5:$G$104,MATCH(1,('Normal Parameters'!$A$5:$A$104=D303)*('Normal Parameters'!$B$5:$B$104=E303)*('Normal Parameters'!$C$5:$C$104="Temperature"),0)),9999)),"Check","Normal"))</x:f>
      </x:c>
    </x:row>
    <x:row r="304" ht="15" hidden="0" customHeight="1">
      <x:c r="A304" s="75"/>
      <x:c r="B304" s="49"/>
      <x:c r="C304" s="49"/>
      <x:c r="D304" s="49" t="str">
        <x:f>IFERROR(XLOOKUP(C304,'Animals'!$A$5:$A$104,'Animals'!$C$5:$C$104,""),"")</x:f>
      </x:c>
      <x:c r="E304" s="49" t="str">
        <x:f>IFERROR(XLOOKUP(C304,'Animals'!$A$5:$A$104,'Animals'!$H$5:$H$104,""),"")</x:f>
      </x:c>
      <x:c r="F304" s="72"/>
      <x:c r="G304" s="72"/>
      <x:c r="H304" s="72"/>
      <x:c r="I304" s="72"/>
      <x:c r="J304" s="72"/>
      <x:c r="K304" s="49"/>
      <x:c r="L304" s="49"/>
      <x:c r="M304" s="49"/>
      <x:c r="N304" s="49"/>
      <x:c r="O304" s="49"/>
      <x:c r="P304" s="49"/>
      <x:c r="Q304" s="50" t="str">
        <x:f>IF(C304="","",IF(OR(J304&gt;IFERROR(INDEX('Normal Parameters'!$G$5:$G$104,MATCH(1,('Normal Parameters'!$A$5:$A$104=D304)*('Normal Parameters'!$B$5:$B$104=E304)*('Normal Parameters'!$C$5:$C$104="Behavior Score"),0)),99),F304&lt;IFERROR(INDEX('Normal Parameters'!$E$5:$E$104,MATCH(1,('Normal Parameters'!$A$5:$A$104=D304)*('Normal Parameters'!$B$5:$B$104=E304)*('Normal Parameters'!$C$5:$C$104="Weight"),0)),0),F304&gt;IFERROR(INDEX('Normal Parameters'!$G$5:$G$104,MATCH(1,('Normal Parameters'!$A$5:$A$104=D304)*('Normal Parameters'!$B$5:$B$104=E304)*('Normal Parameters'!$C$5:$C$104="Weight"),0)),9999),I304&lt;IFERROR(INDEX('Normal Parameters'!$E$5:$E$104,MATCH(1,('Normal Parameters'!$A$5:$A$104=D304)*('Normal Parameters'!$B$5:$B$104=E304)*('Normal Parameters'!$C$5:$C$104="Temperature"),0)),0),I304&gt;IFERROR(INDEX('Normal Parameters'!$G$5:$G$104,MATCH(1,('Normal Parameters'!$A$5:$A$104=D304)*('Normal Parameters'!$B$5:$B$104=E304)*('Normal Parameters'!$C$5:$C$104="Temperature"),0)),9999)),"Check","Normal"))</x:f>
      </x:c>
    </x:row>
  </x:sheetData>
  <x:mergeCells>
    <x:mergeCell ref="A1:Q1"/>
    <x:mergeCell ref="A2:H2"/>
  </x:mergeCells>
  <x:conditionalFormatting sqref="Q5:Q304">
    <x:cfRule type="containsText" dxfId="0" priority="1" operator="containsText" text="Check"/>
    <x:cfRule type="containsText" dxfId="1" priority="2" operator="containsText" text="Normal"/>
  </x:conditionalFormatting>
  <x:dataValidations count="3">
    <x:dataValidation type="list" sqref="C5:C304">
      <x:formula1>'Animals'!$A$5:$A$104</x:formula1>
    </x:dataValidation>
    <x:dataValidation type="whole" operator="between" sqref="J5:J304">
      <x:formula1>0</x:formula1>
      <x:formula2>5</x:formula2>
    </x:dataValidation>
    <x:dataValidation type="list" sqref="K5:O304">
      <x:formula1>"Normal,Reduced,Increased,Abnormal,Not observed"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2ec2e68a374e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27.5" hidden="0" customWidth="1"/>
    <x:col min="6" max="6" width="27.5" hidden="0" customWidth="1"/>
    <x:col min="7" max="7" width="27.5" hidden="0" customWidth="1"/>
    <x:col min="8" max="8" width="16.25" hidden="0" customWidth="1"/>
    <x:col min="9" max="9" width="16.25" hidden="0" customWidth="1"/>
    <x:col min="10" max="10" width="16.25" hidden="0" customWidth="1"/>
  </x:cols>
  <x:sheetData>
    <x:row r="1" ht="19.200000762939453" hidden="0" customHeight="1">
      <x:c r="A1" s="4" t="str">
        <x:v>Events &amp; Treatments</x:v>
      </x:c>
      <x:c r="B1" s="4" t="str">
        <x:v>Events &amp; Treatments</x:v>
      </x:c>
      <x:c r="C1" s="4" t="str">
        <x:v>Events &amp; Treatments</x:v>
      </x:c>
      <x:c r="D1" s="4" t="str">
        <x:v>Events &amp; Treatments</x:v>
      </x:c>
      <x:c r="E1" s="4" t="str">
        <x:v>Events &amp; Treatments</x:v>
      </x:c>
      <x:c r="F1" s="4" t="str">
        <x:v>Events &amp; Treatments</x:v>
      </x:c>
      <x:c r="G1" s="4" t="str">
        <x:v>Events &amp; Treatments</x:v>
      </x:c>
      <x:c r="H1" s="4" t="str">
        <x:v>Events &amp; Treatments</x:v>
      </x:c>
      <x:c r="I1" s="4" t="str">
        <x:v>Events &amp; Treatments</x:v>
      </x:c>
      <x:c r="J1" s="4" t="str">
        <x:v>Events &amp; Treatments</x:v>
      </x:c>
    </x:row>
    <x:row r="2" ht="15" hidden="0" customHeight="1">
      <x:c r="A2" s="8" t="str">
        <x:v>Record procedures, incidents, medications, environmental changes, and follow-up status.</x:v>
      </x:c>
      <x:c r="B2" s="8" t="str">
        <x:v>Record procedures, incidents, medications, environmental changes, and follow-up status.</x:v>
      </x:c>
      <x:c r="C2" s="8" t="str">
        <x:v>Record procedures, incidents, medications, environmental changes, and follow-up status.</x:v>
      </x:c>
      <x:c r="D2" s="8" t="str">
        <x:v>Record procedures, incidents, medications, environmental changes, and follow-up status.</x:v>
      </x:c>
      <x:c r="E2" s="8" t="str">
        <x:v>Record procedures, incidents, medications, environmental changes, and follow-up status.</x:v>
      </x:c>
      <x:c r="F2" s="8" t="str">
        <x:v>Record procedures, incidents, medications, environmental changes, and follow-up status.</x:v>
      </x:c>
      <x:c r="G2" s="8" t="str">
        <x:v>Record procedures, incidents, medications, environmental changes, and follow-up status.</x:v>
      </x:c>
      <x:c r="H2" s="8" t="str">
        <x:v>Record procedures, incidents, medications, environmental changes, and follow-up status.</x:v>
      </x:c>
    </x:row>
    <x:row r="3"/>
    <x:row r="4" ht="15" hidden="0" customHeight="1">
      <x:c r="A4" s="64" t="str">
        <x:v>Date</x:v>
      </x:c>
      <x:c r="B4" s="65" t="str">
        <x:v>Time</x:v>
      </x:c>
      <x:c r="C4" s="65" t="str">
        <x:v>Animal ID</x:v>
      </x:c>
      <x:c r="D4" s="65" t="str">
        <x:v>Event Type</x:v>
      </x:c>
      <x:c r="E4" s="65" t="str">
        <x:v>Description</x:v>
      </x:c>
      <x:c r="F4" s="65" t="str">
        <x:v>Severity</x:v>
      </x:c>
      <x:c r="G4" s="65" t="str">
        <x:v>Action Taken</x:v>
      </x:c>
      <x:c r="H4" s="65" t="str">
        <x:v>Follow-up Date</x:v>
      </x:c>
      <x:c r="I4" s="65" t="str">
        <x:v>Resolved?</x:v>
      </x:c>
      <x:c r="J4" s="66" t="str">
        <x:v>Notes</x:v>
      </x:c>
    </x:row>
    <x:row r="5" ht="15" hidden="0" customHeight="1">
      <x:c r="A5" s="73" t="n">
        <x:v>46195</x:v>
      </x:c>
      <x:c r="B5" s="43" t="str">
        <x:v>10:00</x:v>
      </x:c>
      <x:c r="C5" s="43" t="str">
        <x:v>M-002</x:v>
      </x:c>
      <x:c r="D5" s="43" t="str">
        <x:v>Health check</x:v>
      </x:c>
      <x:c r="E5" s="43" t="str">
        <x:v>Reduced activity noted</x:v>
      </x:c>
      <x:c r="F5" s="43" t="str">
        <x:v>Watch</x:v>
      </x:c>
      <x:c r="G5" s="43" t="str">
        <x:v>Repeat observation in afternoon</x:v>
      </x:c>
      <x:c r="H5" s="67" t="n">
        <x:v>46195</x:v>
      </x:c>
      <x:c r="I5" s="43" t="str">
        <x:v>No</x:v>
      </x:c>
      <x:c r="J5" s="44" t="str">
        <x:v>Example</x:v>
      </x:c>
    </x:row>
    <x:row r="6" ht="15" hidden="0" customHeight="1">
      <x:c r="A6" s="74" t="n">
        <x:v>46194</x:v>
      </x:c>
      <x:c r="B6" s="46" t="str">
        <x:v>14:30</x:v>
      </x:c>
      <x:c r="C6" s="46" t="str">
        <x:v>R-001</x:v>
      </x:c>
      <x:c r="D6" s="46" t="str">
        <x:v>Procedure</x:v>
      </x:c>
      <x:c r="E6" s="46" t="str">
        <x:v>Routine handling</x:v>
      </x:c>
      <x:c r="F6" s="46" t="str">
        <x:v>Normal</x:v>
      </x:c>
      <x:c r="G6" s="46" t="str">
        <x:v>No action required</x:v>
      </x:c>
      <x:c r="H6" s="68"/>
      <x:c r="I6" s="46" t="str">
        <x:v>Yes</x:v>
      </x:c>
      <x:c r="J6" s="47" t="str">
        <x:v>Example</x:v>
      </x:c>
    </x:row>
    <x:row r="7" ht="15" hidden="0" customHeight="1">
      <x:c r="A7" s="74"/>
      <x:c r="B7" s="46" t="str"/>
      <x:c r="C7" s="46" t="str"/>
      <x:c r="D7" s="46" t="str"/>
      <x:c r="E7" s="46" t="str"/>
      <x:c r="F7" s="46" t="str"/>
      <x:c r="G7" s="46" t="str"/>
      <x:c r="H7" s="68"/>
      <x:c r="I7" s="46" t="str"/>
      <x:c r="J7" s="47" t="str"/>
    </x:row>
    <x:row r="8" ht="15" hidden="0" customHeight="1">
      <x:c r="A8" s="74"/>
      <x:c r="B8" s="46" t="str"/>
      <x:c r="C8" s="46" t="str"/>
      <x:c r="D8" s="46" t="str"/>
      <x:c r="E8" s="46" t="str"/>
      <x:c r="F8" s="46" t="str"/>
      <x:c r="G8" s="46" t="str"/>
      <x:c r="H8" s="68"/>
      <x:c r="I8" s="46" t="str"/>
      <x:c r="J8" s="47" t="str"/>
    </x:row>
    <x:row r="9" ht="15" hidden="0" customHeight="1">
      <x:c r="A9" s="74"/>
      <x:c r="B9" s="46"/>
      <x:c r="C9" s="46"/>
      <x:c r="D9" s="46"/>
      <x:c r="E9" s="46"/>
      <x:c r="F9" s="46"/>
      <x:c r="G9" s="46"/>
      <x:c r="H9" s="68"/>
      <x:c r="I9" s="46"/>
      <x:c r="J9" s="47"/>
    </x:row>
    <x:row r="10" ht="15" hidden="0" customHeight="1">
      <x:c r="A10" s="74"/>
      <x:c r="B10" s="46"/>
      <x:c r="C10" s="46"/>
      <x:c r="D10" s="46"/>
      <x:c r="E10" s="46"/>
      <x:c r="F10" s="46"/>
      <x:c r="G10" s="46"/>
      <x:c r="H10" s="68"/>
      <x:c r="I10" s="46"/>
      <x:c r="J10" s="47"/>
    </x:row>
    <x:row r="11" ht="15" hidden="0" customHeight="1">
      <x:c r="A11" s="74"/>
      <x:c r="B11" s="46"/>
      <x:c r="C11" s="46"/>
      <x:c r="D11" s="46"/>
      <x:c r="E11" s="46"/>
      <x:c r="F11" s="46"/>
      <x:c r="G11" s="46"/>
      <x:c r="H11" s="68"/>
      <x:c r="I11" s="46"/>
      <x:c r="J11" s="47"/>
    </x:row>
    <x:row r="12" ht="15" hidden="0" customHeight="1">
      <x:c r="A12" s="74"/>
      <x:c r="B12" s="46"/>
      <x:c r="C12" s="46"/>
      <x:c r="D12" s="46"/>
      <x:c r="E12" s="46"/>
      <x:c r="F12" s="46"/>
      <x:c r="G12" s="46"/>
      <x:c r="H12" s="68"/>
      <x:c r="I12" s="46"/>
      <x:c r="J12" s="47"/>
    </x:row>
    <x:row r="13" ht="15" hidden="0" customHeight="1">
      <x:c r="A13" s="74"/>
      <x:c r="B13" s="46"/>
      <x:c r="C13" s="46"/>
      <x:c r="D13" s="46"/>
      <x:c r="E13" s="46"/>
      <x:c r="F13" s="46"/>
      <x:c r="G13" s="46"/>
      <x:c r="H13" s="68"/>
      <x:c r="I13" s="46"/>
      <x:c r="J13" s="47"/>
    </x:row>
    <x:row r="14" ht="15" hidden="0" customHeight="1">
      <x:c r="A14" s="74"/>
      <x:c r="B14" s="46"/>
      <x:c r="C14" s="46"/>
      <x:c r="D14" s="46"/>
      <x:c r="E14" s="46"/>
      <x:c r="F14" s="46"/>
      <x:c r="G14" s="46"/>
      <x:c r="H14" s="68"/>
      <x:c r="I14" s="46"/>
      <x:c r="J14" s="47"/>
    </x:row>
    <x:row r="15" ht="15" hidden="0" customHeight="1">
      <x:c r="A15" s="74"/>
      <x:c r="B15" s="46"/>
      <x:c r="C15" s="46"/>
      <x:c r="D15" s="46"/>
      <x:c r="E15" s="46"/>
      <x:c r="F15" s="46"/>
      <x:c r="G15" s="46"/>
      <x:c r="H15" s="68"/>
      <x:c r="I15" s="46"/>
      <x:c r="J15" s="47"/>
    </x:row>
    <x:row r="16" ht="15" hidden="0" customHeight="1">
      <x:c r="A16" s="74"/>
      <x:c r="B16" s="46"/>
      <x:c r="C16" s="46"/>
      <x:c r="D16" s="46"/>
      <x:c r="E16" s="46"/>
      <x:c r="F16" s="46"/>
      <x:c r="G16" s="46"/>
      <x:c r="H16" s="68"/>
      <x:c r="I16" s="46"/>
      <x:c r="J16" s="47"/>
    </x:row>
    <x:row r="17" ht="15" hidden="0" customHeight="1">
      <x:c r="A17" s="74"/>
      <x:c r="B17" s="46"/>
      <x:c r="C17" s="46"/>
      <x:c r="D17" s="46"/>
      <x:c r="E17" s="46"/>
      <x:c r="F17" s="46"/>
      <x:c r="G17" s="46"/>
      <x:c r="H17" s="68"/>
      <x:c r="I17" s="46"/>
      <x:c r="J17" s="47"/>
    </x:row>
    <x:row r="18" ht="15" hidden="0" customHeight="1">
      <x:c r="A18" s="74"/>
      <x:c r="B18" s="46"/>
      <x:c r="C18" s="46"/>
      <x:c r="D18" s="46"/>
      <x:c r="E18" s="46"/>
      <x:c r="F18" s="46"/>
      <x:c r="G18" s="46"/>
      <x:c r="H18" s="68"/>
      <x:c r="I18" s="46"/>
      <x:c r="J18" s="47"/>
    </x:row>
    <x:row r="19" ht="15" hidden="0" customHeight="1">
      <x:c r="A19" s="74"/>
      <x:c r="B19" s="46"/>
      <x:c r="C19" s="46"/>
      <x:c r="D19" s="46"/>
      <x:c r="E19" s="46"/>
      <x:c r="F19" s="46"/>
      <x:c r="G19" s="46"/>
      <x:c r="H19" s="68"/>
      <x:c r="I19" s="46"/>
      <x:c r="J19" s="47"/>
    </x:row>
    <x:row r="20" ht="15" hidden="0" customHeight="1">
      <x:c r="A20" s="74"/>
      <x:c r="B20" s="46"/>
      <x:c r="C20" s="46"/>
      <x:c r="D20" s="46"/>
      <x:c r="E20" s="46"/>
      <x:c r="F20" s="46"/>
      <x:c r="G20" s="46"/>
      <x:c r="H20" s="68"/>
      <x:c r="I20" s="46"/>
      <x:c r="J20" s="47"/>
    </x:row>
    <x:row r="21" ht="15" hidden="0" customHeight="1">
      <x:c r="A21" s="74"/>
      <x:c r="B21" s="46"/>
      <x:c r="C21" s="46"/>
      <x:c r="D21" s="46"/>
      <x:c r="E21" s="46"/>
      <x:c r="F21" s="46"/>
      <x:c r="G21" s="46"/>
      <x:c r="H21" s="68"/>
      <x:c r="I21" s="46"/>
      <x:c r="J21" s="47"/>
    </x:row>
    <x:row r="22" ht="15" hidden="0" customHeight="1">
      <x:c r="A22" s="74"/>
      <x:c r="B22" s="46"/>
      <x:c r="C22" s="46"/>
      <x:c r="D22" s="46"/>
      <x:c r="E22" s="46"/>
      <x:c r="F22" s="46"/>
      <x:c r="G22" s="46"/>
      <x:c r="H22" s="68"/>
      <x:c r="I22" s="46"/>
      <x:c r="J22" s="47"/>
    </x:row>
    <x:row r="23" ht="15" hidden="0" customHeight="1">
      <x:c r="A23" s="74"/>
      <x:c r="B23" s="46"/>
      <x:c r="C23" s="46"/>
      <x:c r="D23" s="46"/>
      <x:c r="E23" s="46"/>
      <x:c r="F23" s="46"/>
      <x:c r="G23" s="46"/>
      <x:c r="H23" s="68"/>
      <x:c r="I23" s="46"/>
      <x:c r="J23" s="47"/>
    </x:row>
    <x:row r="24" ht="15" hidden="0" customHeight="1">
      <x:c r="A24" s="74"/>
      <x:c r="B24" s="46"/>
      <x:c r="C24" s="46"/>
      <x:c r="D24" s="46"/>
      <x:c r="E24" s="46"/>
      <x:c r="F24" s="46"/>
      <x:c r="G24" s="46"/>
      <x:c r="H24" s="68"/>
      <x:c r="I24" s="46"/>
      <x:c r="J24" s="47"/>
    </x:row>
    <x:row r="25" ht="15" hidden="0" customHeight="1">
      <x:c r="A25" s="74"/>
      <x:c r="B25" s="46"/>
      <x:c r="C25" s="46"/>
      <x:c r="D25" s="46"/>
      <x:c r="E25" s="46"/>
      <x:c r="F25" s="46"/>
      <x:c r="G25" s="46"/>
      <x:c r="H25" s="68"/>
      <x:c r="I25" s="46"/>
      <x:c r="J25" s="47"/>
    </x:row>
    <x:row r="26" ht="15" hidden="0" customHeight="1">
      <x:c r="A26" s="74"/>
      <x:c r="B26" s="46"/>
      <x:c r="C26" s="46"/>
      <x:c r="D26" s="46"/>
      <x:c r="E26" s="46"/>
      <x:c r="F26" s="46"/>
      <x:c r="G26" s="46"/>
      <x:c r="H26" s="68"/>
      <x:c r="I26" s="46"/>
      <x:c r="J26" s="47"/>
    </x:row>
    <x:row r="27" ht="15" hidden="0" customHeight="1">
      <x:c r="A27" s="74"/>
      <x:c r="B27" s="46"/>
      <x:c r="C27" s="46"/>
      <x:c r="D27" s="46"/>
      <x:c r="E27" s="46"/>
      <x:c r="F27" s="46"/>
      <x:c r="G27" s="46"/>
      <x:c r="H27" s="68"/>
      <x:c r="I27" s="46"/>
      <x:c r="J27" s="47"/>
    </x:row>
    <x:row r="28" ht="15" hidden="0" customHeight="1">
      <x:c r="A28" s="74"/>
      <x:c r="B28" s="46"/>
      <x:c r="C28" s="46"/>
      <x:c r="D28" s="46"/>
      <x:c r="E28" s="46"/>
      <x:c r="F28" s="46"/>
      <x:c r="G28" s="46"/>
      <x:c r="H28" s="68"/>
      <x:c r="I28" s="46"/>
      <x:c r="J28" s="47"/>
    </x:row>
    <x:row r="29" ht="15" hidden="0" customHeight="1">
      <x:c r="A29" s="74"/>
      <x:c r="B29" s="46"/>
      <x:c r="C29" s="46"/>
      <x:c r="D29" s="46"/>
      <x:c r="E29" s="46"/>
      <x:c r="F29" s="46"/>
      <x:c r="G29" s="46"/>
      <x:c r="H29" s="68"/>
      <x:c r="I29" s="46"/>
      <x:c r="J29" s="47"/>
    </x:row>
    <x:row r="30" ht="15" hidden="0" customHeight="1">
      <x:c r="A30" s="74"/>
      <x:c r="B30" s="46"/>
      <x:c r="C30" s="46"/>
      <x:c r="D30" s="46"/>
      <x:c r="E30" s="46"/>
      <x:c r="F30" s="46"/>
      <x:c r="G30" s="46"/>
      <x:c r="H30" s="68"/>
      <x:c r="I30" s="46"/>
      <x:c r="J30" s="47"/>
    </x:row>
    <x:row r="31" ht="15" hidden="0" customHeight="1">
      <x:c r="A31" s="74"/>
      <x:c r="B31" s="46"/>
      <x:c r="C31" s="46"/>
      <x:c r="D31" s="46"/>
      <x:c r="E31" s="46"/>
      <x:c r="F31" s="46"/>
      <x:c r="G31" s="46"/>
      <x:c r="H31" s="68"/>
      <x:c r="I31" s="46"/>
      <x:c r="J31" s="47"/>
    </x:row>
    <x:row r="32" ht="15" hidden="0" customHeight="1">
      <x:c r="A32" s="74"/>
      <x:c r="B32" s="46"/>
      <x:c r="C32" s="46"/>
      <x:c r="D32" s="46"/>
      <x:c r="E32" s="46"/>
      <x:c r="F32" s="46"/>
      <x:c r="G32" s="46"/>
      <x:c r="H32" s="68"/>
      <x:c r="I32" s="46"/>
      <x:c r="J32" s="47"/>
    </x:row>
    <x:row r="33" ht="15" hidden="0" customHeight="1">
      <x:c r="A33" s="74"/>
      <x:c r="B33" s="46"/>
      <x:c r="C33" s="46"/>
      <x:c r="D33" s="46"/>
      <x:c r="E33" s="46"/>
      <x:c r="F33" s="46"/>
      <x:c r="G33" s="46"/>
      <x:c r="H33" s="68"/>
      <x:c r="I33" s="46"/>
      <x:c r="J33" s="47"/>
    </x:row>
    <x:row r="34" ht="15" hidden="0" customHeight="1">
      <x:c r="A34" s="74"/>
      <x:c r="B34" s="46"/>
      <x:c r="C34" s="46"/>
      <x:c r="D34" s="46"/>
      <x:c r="E34" s="46"/>
      <x:c r="F34" s="46"/>
      <x:c r="G34" s="46"/>
      <x:c r="H34" s="68"/>
      <x:c r="I34" s="46"/>
      <x:c r="J34" s="47"/>
    </x:row>
    <x:row r="35" ht="15" hidden="0" customHeight="1">
      <x:c r="A35" s="74"/>
      <x:c r="B35" s="46"/>
      <x:c r="C35" s="46"/>
      <x:c r="D35" s="46"/>
      <x:c r="E35" s="46"/>
      <x:c r="F35" s="46"/>
      <x:c r="G35" s="46"/>
      <x:c r="H35" s="68"/>
      <x:c r="I35" s="46"/>
      <x:c r="J35" s="47"/>
    </x:row>
    <x:row r="36" ht="15" hidden="0" customHeight="1">
      <x:c r="A36" s="74"/>
      <x:c r="B36" s="46"/>
      <x:c r="C36" s="46"/>
      <x:c r="D36" s="46"/>
      <x:c r="E36" s="46"/>
      <x:c r="F36" s="46"/>
      <x:c r="G36" s="46"/>
      <x:c r="H36" s="68"/>
      <x:c r="I36" s="46"/>
      <x:c r="J36" s="47"/>
    </x:row>
    <x:row r="37" ht="15" hidden="0" customHeight="1">
      <x:c r="A37" s="74"/>
      <x:c r="B37" s="46"/>
      <x:c r="C37" s="46"/>
      <x:c r="D37" s="46"/>
      <x:c r="E37" s="46"/>
      <x:c r="F37" s="46"/>
      <x:c r="G37" s="46"/>
      <x:c r="H37" s="68"/>
      <x:c r="I37" s="46"/>
      <x:c r="J37" s="47"/>
    </x:row>
    <x:row r="38" ht="15" hidden="0" customHeight="1">
      <x:c r="A38" s="74"/>
      <x:c r="B38" s="46"/>
      <x:c r="C38" s="46"/>
      <x:c r="D38" s="46"/>
      <x:c r="E38" s="46"/>
      <x:c r="F38" s="46"/>
      <x:c r="G38" s="46"/>
      <x:c r="H38" s="68"/>
      <x:c r="I38" s="46"/>
      <x:c r="J38" s="47"/>
    </x:row>
    <x:row r="39" ht="15" hidden="0" customHeight="1">
      <x:c r="A39" s="74"/>
      <x:c r="B39" s="46"/>
      <x:c r="C39" s="46"/>
      <x:c r="D39" s="46"/>
      <x:c r="E39" s="46"/>
      <x:c r="F39" s="46"/>
      <x:c r="G39" s="46"/>
      <x:c r="H39" s="68"/>
      <x:c r="I39" s="46"/>
      <x:c r="J39" s="47"/>
    </x:row>
    <x:row r="40" ht="15" hidden="0" customHeight="1">
      <x:c r="A40" s="74"/>
      <x:c r="B40" s="46"/>
      <x:c r="C40" s="46"/>
      <x:c r="D40" s="46"/>
      <x:c r="E40" s="46"/>
      <x:c r="F40" s="46"/>
      <x:c r="G40" s="46"/>
      <x:c r="H40" s="68"/>
      <x:c r="I40" s="46"/>
      <x:c r="J40" s="47"/>
    </x:row>
    <x:row r="41" ht="15" hidden="0" customHeight="1">
      <x:c r="A41" s="74"/>
      <x:c r="B41" s="46"/>
      <x:c r="C41" s="46"/>
      <x:c r="D41" s="46"/>
      <x:c r="E41" s="46"/>
      <x:c r="F41" s="46"/>
      <x:c r="G41" s="46"/>
      <x:c r="H41" s="68"/>
      <x:c r="I41" s="46"/>
      <x:c r="J41" s="47"/>
    </x:row>
    <x:row r="42" ht="15" hidden="0" customHeight="1">
      <x:c r="A42" s="74"/>
      <x:c r="B42" s="46"/>
      <x:c r="C42" s="46"/>
      <x:c r="D42" s="46"/>
      <x:c r="E42" s="46"/>
      <x:c r="F42" s="46"/>
      <x:c r="G42" s="46"/>
      <x:c r="H42" s="68"/>
      <x:c r="I42" s="46"/>
      <x:c r="J42" s="47"/>
    </x:row>
    <x:row r="43" ht="15" hidden="0" customHeight="1">
      <x:c r="A43" s="74"/>
      <x:c r="B43" s="46"/>
      <x:c r="C43" s="46"/>
      <x:c r="D43" s="46"/>
      <x:c r="E43" s="46"/>
      <x:c r="F43" s="46"/>
      <x:c r="G43" s="46"/>
      <x:c r="H43" s="68"/>
      <x:c r="I43" s="46"/>
      <x:c r="J43" s="47"/>
    </x:row>
    <x:row r="44" ht="15" hidden="0" customHeight="1">
      <x:c r="A44" s="74"/>
      <x:c r="B44" s="46"/>
      <x:c r="C44" s="46"/>
      <x:c r="D44" s="46"/>
      <x:c r="E44" s="46"/>
      <x:c r="F44" s="46"/>
      <x:c r="G44" s="46"/>
      <x:c r="H44" s="68"/>
      <x:c r="I44" s="46"/>
      <x:c r="J44" s="47"/>
    </x:row>
    <x:row r="45" ht="15" hidden="0" customHeight="1">
      <x:c r="A45" s="74"/>
      <x:c r="B45" s="46"/>
      <x:c r="C45" s="46"/>
      <x:c r="D45" s="46"/>
      <x:c r="E45" s="46"/>
      <x:c r="F45" s="46"/>
      <x:c r="G45" s="46"/>
      <x:c r="H45" s="68"/>
      <x:c r="I45" s="46"/>
      <x:c r="J45" s="47"/>
    </x:row>
    <x:row r="46" ht="15" hidden="0" customHeight="1">
      <x:c r="A46" s="74"/>
      <x:c r="B46" s="46"/>
      <x:c r="C46" s="46"/>
      <x:c r="D46" s="46"/>
      <x:c r="E46" s="46"/>
      <x:c r="F46" s="46"/>
      <x:c r="G46" s="46"/>
      <x:c r="H46" s="68"/>
      <x:c r="I46" s="46"/>
      <x:c r="J46" s="47"/>
    </x:row>
    <x:row r="47" ht="15" hidden="0" customHeight="1">
      <x:c r="A47" s="74"/>
      <x:c r="B47" s="46"/>
      <x:c r="C47" s="46"/>
      <x:c r="D47" s="46"/>
      <x:c r="E47" s="46"/>
      <x:c r="F47" s="46"/>
      <x:c r="G47" s="46"/>
      <x:c r="H47" s="68"/>
      <x:c r="I47" s="46"/>
      <x:c r="J47" s="47"/>
    </x:row>
    <x:row r="48" ht="15" hidden="0" customHeight="1">
      <x:c r="A48" s="74"/>
      <x:c r="B48" s="46"/>
      <x:c r="C48" s="46"/>
      <x:c r="D48" s="46"/>
      <x:c r="E48" s="46"/>
      <x:c r="F48" s="46"/>
      <x:c r="G48" s="46"/>
      <x:c r="H48" s="68"/>
      <x:c r="I48" s="46"/>
      <x:c r="J48" s="47"/>
    </x:row>
    <x:row r="49" ht="15" hidden="0" customHeight="1">
      <x:c r="A49" s="74"/>
      <x:c r="B49" s="46"/>
      <x:c r="C49" s="46"/>
      <x:c r="D49" s="46"/>
      <x:c r="E49" s="46"/>
      <x:c r="F49" s="46"/>
      <x:c r="G49" s="46"/>
      <x:c r="H49" s="68"/>
      <x:c r="I49" s="46"/>
      <x:c r="J49" s="47"/>
    </x:row>
    <x:row r="50" ht="15" hidden="0" customHeight="1">
      <x:c r="A50" s="74"/>
      <x:c r="B50" s="46"/>
      <x:c r="C50" s="46"/>
      <x:c r="D50" s="46"/>
      <x:c r="E50" s="46"/>
      <x:c r="F50" s="46"/>
      <x:c r="G50" s="46"/>
      <x:c r="H50" s="68"/>
      <x:c r="I50" s="46"/>
      <x:c r="J50" s="47"/>
    </x:row>
    <x:row r="51" ht="15" hidden="0" customHeight="1">
      <x:c r="A51" s="74"/>
      <x:c r="B51" s="46"/>
      <x:c r="C51" s="46"/>
      <x:c r="D51" s="46"/>
      <x:c r="E51" s="46"/>
      <x:c r="F51" s="46"/>
      <x:c r="G51" s="46"/>
      <x:c r="H51" s="68"/>
      <x:c r="I51" s="46"/>
      <x:c r="J51" s="47"/>
    </x:row>
    <x:row r="52" ht="15" hidden="0" customHeight="1">
      <x:c r="A52" s="74"/>
      <x:c r="B52" s="46"/>
      <x:c r="C52" s="46"/>
      <x:c r="D52" s="46"/>
      <x:c r="E52" s="46"/>
      <x:c r="F52" s="46"/>
      <x:c r="G52" s="46"/>
      <x:c r="H52" s="68"/>
      <x:c r="I52" s="46"/>
      <x:c r="J52" s="47"/>
    </x:row>
    <x:row r="53" ht="15" hidden="0" customHeight="1">
      <x:c r="A53" s="74"/>
      <x:c r="B53" s="46"/>
      <x:c r="C53" s="46"/>
      <x:c r="D53" s="46"/>
      <x:c r="E53" s="46"/>
      <x:c r="F53" s="46"/>
      <x:c r="G53" s="46"/>
      <x:c r="H53" s="68"/>
      <x:c r="I53" s="46"/>
      <x:c r="J53" s="47"/>
    </x:row>
    <x:row r="54" ht="15" hidden="0" customHeight="1">
      <x:c r="A54" s="74"/>
      <x:c r="B54" s="46"/>
      <x:c r="C54" s="46"/>
      <x:c r="D54" s="46"/>
      <x:c r="E54" s="46"/>
      <x:c r="F54" s="46"/>
      <x:c r="G54" s="46"/>
      <x:c r="H54" s="68"/>
      <x:c r="I54" s="46"/>
      <x:c r="J54" s="47"/>
    </x:row>
    <x:row r="55" ht="15" hidden="0" customHeight="1">
      <x:c r="A55" s="74"/>
      <x:c r="B55" s="46"/>
      <x:c r="C55" s="46"/>
      <x:c r="D55" s="46"/>
      <x:c r="E55" s="46"/>
      <x:c r="F55" s="46"/>
      <x:c r="G55" s="46"/>
      <x:c r="H55" s="68"/>
      <x:c r="I55" s="46"/>
      <x:c r="J55" s="47"/>
    </x:row>
    <x:row r="56" ht="15" hidden="0" customHeight="1">
      <x:c r="A56" s="74"/>
      <x:c r="B56" s="46"/>
      <x:c r="C56" s="46"/>
      <x:c r="D56" s="46"/>
      <x:c r="E56" s="46"/>
      <x:c r="F56" s="46"/>
      <x:c r="G56" s="46"/>
      <x:c r="H56" s="68"/>
      <x:c r="I56" s="46"/>
      <x:c r="J56" s="47"/>
    </x:row>
    <x:row r="57" ht="15" hidden="0" customHeight="1">
      <x:c r="A57" s="74"/>
      <x:c r="B57" s="46"/>
      <x:c r="C57" s="46"/>
      <x:c r="D57" s="46"/>
      <x:c r="E57" s="46"/>
      <x:c r="F57" s="46"/>
      <x:c r="G57" s="46"/>
      <x:c r="H57" s="68"/>
      <x:c r="I57" s="46"/>
      <x:c r="J57" s="47"/>
    </x:row>
    <x:row r="58" ht="15" hidden="0" customHeight="1">
      <x:c r="A58" s="74"/>
      <x:c r="B58" s="46"/>
      <x:c r="C58" s="46"/>
      <x:c r="D58" s="46"/>
      <x:c r="E58" s="46"/>
      <x:c r="F58" s="46"/>
      <x:c r="G58" s="46"/>
      <x:c r="H58" s="68"/>
      <x:c r="I58" s="46"/>
      <x:c r="J58" s="47"/>
    </x:row>
    <x:row r="59" ht="15" hidden="0" customHeight="1">
      <x:c r="A59" s="74"/>
      <x:c r="B59" s="46"/>
      <x:c r="C59" s="46"/>
      <x:c r="D59" s="46"/>
      <x:c r="E59" s="46"/>
      <x:c r="F59" s="46"/>
      <x:c r="G59" s="46"/>
      <x:c r="H59" s="68"/>
      <x:c r="I59" s="46"/>
      <x:c r="J59" s="47"/>
    </x:row>
    <x:row r="60" ht="15" hidden="0" customHeight="1">
      <x:c r="A60" s="74"/>
      <x:c r="B60" s="46"/>
      <x:c r="C60" s="46"/>
      <x:c r="D60" s="46"/>
      <x:c r="E60" s="46"/>
      <x:c r="F60" s="46"/>
      <x:c r="G60" s="46"/>
      <x:c r="H60" s="68"/>
      <x:c r="I60" s="46"/>
      <x:c r="J60" s="47"/>
    </x:row>
    <x:row r="61" ht="15" hidden="0" customHeight="1">
      <x:c r="A61" s="74"/>
      <x:c r="B61" s="46"/>
      <x:c r="C61" s="46"/>
      <x:c r="D61" s="46"/>
      <x:c r="E61" s="46"/>
      <x:c r="F61" s="46"/>
      <x:c r="G61" s="46"/>
      <x:c r="H61" s="68"/>
      <x:c r="I61" s="46"/>
      <x:c r="J61" s="47"/>
    </x:row>
    <x:row r="62" ht="15" hidden="0" customHeight="1">
      <x:c r="A62" s="74"/>
      <x:c r="B62" s="46"/>
      <x:c r="C62" s="46"/>
      <x:c r="D62" s="46"/>
      <x:c r="E62" s="46"/>
      <x:c r="F62" s="46"/>
      <x:c r="G62" s="46"/>
      <x:c r="H62" s="68"/>
      <x:c r="I62" s="46"/>
      <x:c r="J62" s="47"/>
    </x:row>
    <x:row r="63" ht="15" hidden="0" customHeight="1">
      <x:c r="A63" s="74"/>
      <x:c r="B63" s="46"/>
      <x:c r="C63" s="46"/>
      <x:c r="D63" s="46"/>
      <x:c r="E63" s="46"/>
      <x:c r="F63" s="46"/>
      <x:c r="G63" s="46"/>
      <x:c r="H63" s="68"/>
      <x:c r="I63" s="46"/>
      <x:c r="J63" s="47"/>
    </x:row>
    <x:row r="64" ht="15" hidden="0" customHeight="1">
      <x:c r="A64" s="74"/>
      <x:c r="B64" s="46"/>
      <x:c r="C64" s="46"/>
      <x:c r="D64" s="46"/>
      <x:c r="E64" s="46"/>
      <x:c r="F64" s="46"/>
      <x:c r="G64" s="46"/>
      <x:c r="H64" s="68"/>
      <x:c r="I64" s="46"/>
      <x:c r="J64" s="47"/>
    </x:row>
    <x:row r="65" ht="15" hidden="0" customHeight="1">
      <x:c r="A65" s="74"/>
      <x:c r="B65" s="46"/>
      <x:c r="C65" s="46"/>
      <x:c r="D65" s="46"/>
      <x:c r="E65" s="46"/>
      <x:c r="F65" s="46"/>
      <x:c r="G65" s="46"/>
      <x:c r="H65" s="68"/>
      <x:c r="I65" s="46"/>
      <x:c r="J65" s="47"/>
    </x:row>
    <x:row r="66" ht="15" hidden="0" customHeight="1">
      <x:c r="A66" s="74"/>
      <x:c r="B66" s="46"/>
      <x:c r="C66" s="46"/>
      <x:c r="D66" s="46"/>
      <x:c r="E66" s="46"/>
      <x:c r="F66" s="46"/>
      <x:c r="G66" s="46"/>
      <x:c r="H66" s="68"/>
      <x:c r="I66" s="46"/>
      <x:c r="J66" s="47"/>
    </x:row>
    <x:row r="67" ht="15" hidden="0" customHeight="1">
      <x:c r="A67" s="74"/>
      <x:c r="B67" s="46"/>
      <x:c r="C67" s="46"/>
      <x:c r="D67" s="46"/>
      <x:c r="E67" s="46"/>
      <x:c r="F67" s="46"/>
      <x:c r="G67" s="46"/>
      <x:c r="H67" s="68"/>
      <x:c r="I67" s="46"/>
      <x:c r="J67" s="47"/>
    </x:row>
    <x:row r="68" ht="15" hidden="0" customHeight="1">
      <x:c r="A68" s="74"/>
      <x:c r="B68" s="46"/>
      <x:c r="C68" s="46"/>
      <x:c r="D68" s="46"/>
      <x:c r="E68" s="46"/>
      <x:c r="F68" s="46"/>
      <x:c r="G68" s="46"/>
      <x:c r="H68" s="68"/>
      <x:c r="I68" s="46"/>
      <x:c r="J68" s="47"/>
    </x:row>
    <x:row r="69" ht="15" hidden="0" customHeight="1">
      <x:c r="A69" s="74"/>
      <x:c r="B69" s="46"/>
      <x:c r="C69" s="46"/>
      <x:c r="D69" s="46"/>
      <x:c r="E69" s="46"/>
      <x:c r="F69" s="46"/>
      <x:c r="G69" s="46"/>
      <x:c r="H69" s="68"/>
      <x:c r="I69" s="46"/>
      <x:c r="J69" s="47"/>
    </x:row>
    <x:row r="70" ht="15" hidden="0" customHeight="1">
      <x:c r="A70" s="74"/>
      <x:c r="B70" s="46"/>
      <x:c r="C70" s="46"/>
      <x:c r="D70" s="46"/>
      <x:c r="E70" s="46"/>
      <x:c r="F70" s="46"/>
      <x:c r="G70" s="46"/>
      <x:c r="H70" s="68"/>
      <x:c r="I70" s="46"/>
      <x:c r="J70" s="47"/>
    </x:row>
    <x:row r="71" ht="15" hidden="0" customHeight="1">
      <x:c r="A71" s="74"/>
      <x:c r="B71" s="46"/>
      <x:c r="C71" s="46"/>
      <x:c r="D71" s="46"/>
      <x:c r="E71" s="46"/>
      <x:c r="F71" s="46"/>
      <x:c r="G71" s="46"/>
      <x:c r="H71" s="68"/>
      <x:c r="I71" s="46"/>
      <x:c r="J71" s="47"/>
    </x:row>
    <x:row r="72" ht="15" hidden="0" customHeight="1">
      <x:c r="A72" s="74"/>
      <x:c r="B72" s="46"/>
      <x:c r="C72" s="46"/>
      <x:c r="D72" s="46"/>
      <x:c r="E72" s="46"/>
      <x:c r="F72" s="46"/>
      <x:c r="G72" s="46"/>
      <x:c r="H72" s="68"/>
      <x:c r="I72" s="46"/>
      <x:c r="J72" s="47"/>
    </x:row>
    <x:row r="73" ht="15" hidden="0" customHeight="1">
      <x:c r="A73" s="74"/>
      <x:c r="B73" s="46"/>
      <x:c r="C73" s="46"/>
      <x:c r="D73" s="46"/>
      <x:c r="E73" s="46"/>
      <x:c r="F73" s="46"/>
      <x:c r="G73" s="46"/>
      <x:c r="H73" s="68"/>
      <x:c r="I73" s="46"/>
      <x:c r="J73" s="47"/>
    </x:row>
    <x:row r="74" ht="15" hidden="0" customHeight="1">
      <x:c r="A74" s="74"/>
      <x:c r="B74" s="46"/>
      <x:c r="C74" s="46"/>
      <x:c r="D74" s="46"/>
      <x:c r="E74" s="46"/>
      <x:c r="F74" s="46"/>
      <x:c r="G74" s="46"/>
      <x:c r="H74" s="68"/>
      <x:c r="I74" s="46"/>
      <x:c r="J74" s="47"/>
    </x:row>
    <x:row r="75" ht="15" hidden="0" customHeight="1">
      <x:c r="A75" s="74"/>
      <x:c r="B75" s="46"/>
      <x:c r="C75" s="46"/>
      <x:c r="D75" s="46"/>
      <x:c r="E75" s="46"/>
      <x:c r="F75" s="46"/>
      <x:c r="G75" s="46"/>
      <x:c r="H75" s="68"/>
      <x:c r="I75" s="46"/>
      <x:c r="J75" s="47"/>
    </x:row>
    <x:row r="76" ht="15" hidden="0" customHeight="1">
      <x:c r="A76" s="74"/>
      <x:c r="B76" s="46"/>
      <x:c r="C76" s="46"/>
      <x:c r="D76" s="46"/>
      <x:c r="E76" s="46"/>
      <x:c r="F76" s="46"/>
      <x:c r="G76" s="46"/>
      <x:c r="H76" s="68"/>
      <x:c r="I76" s="46"/>
      <x:c r="J76" s="47"/>
    </x:row>
    <x:row r="77" ht="15" hidden="0" customHeight="1">
      <x:c r="A77" s="74"/>
      <x:c r="B77" s="46"/>
      <x:c r="C77" s="46"/>
      <x:c r="D77" s="46"/>
      <x:c r="E77" s="46"/>
      <x:c r="F77" s="46"/>
      <x:c r="G77" s="46"/>
      <x:c r="H77" s="68"/>
      <x:c r="I77" s="46"/>
      <x:c r="J77" s="47"/>
    </x:row>
    <x:row r="78" ht="15" hidden="0" customHeight="1">
      <x:c r="A78" s="74"/>
      <x:c r="B78" s="46"/>
      <x:c r="C78" s="46"/>
      <x:c r="D78" s="46"/>
      <x:c r="E78" s="46"/>
      <x:c r="F78" s="46"/>
      <x:c r="G78" s="46"/>
      <x:c r="H78" s="68"/>
      <x:c r="I78" s="46"/>
      <x:c r="J78" s="47"/>
    </x:row>
    <x:row r="79" ht="15" hidden="0" customHeight="1">
      <x:c r="A79" s="74"/>
      <x:c r="B79" s="46"/>
      <x:c r="C79" s="46"/>
      <x:c r="D79" s="46"/>
      <x:c r="E79" s="46"/>
      <x:c r="F79" s="46"/>
      <x:c r="G79" s="46"/>
      <x:c r="H79" s="68"/>
      <x:c r="I79" s="46"/>
      <x:c r="J79" s="47"/>
    </x:row>
    <x:row r="80" ht="15" hidden="0" customHeight="1">
      <x:c r="A80" s="74"/>
      <x:c r="B80" s="46"/>
      <x:c r="C80" s="46"/>
      <x:c r="D80" s="46"/>
      <x:c r="E80" s="46"/>
      <x:c r="F80" s="46"/>
      <x:c r="G80" s="46"/>
      <x:c r="H80" s="68"/>
      <x:c r="I80" s="46"/>
      <x:c r="J80" s="47"/>
    </x:row>
    <x:row r="81" ht="15" hidden="0" customHeight="1">
      <x:c r="A81" s="74"/>
      <x:c r="B81" s="46"/>
      <x:c r="C81" s="46"/>
      <x:c r="D81" s="46"/>
      <x:c r="E81" s="46"/>
      <x:c r="F81" s="46"/>
      <x:c r="G81" s="46"/>
      <x:c r="H81" s="68"/>
      <x:c r="I81" s="46"/>
      <x:c r="J81" s="47"/>
    </x:row>
    <x:row r="82" ht="15" hidden="0" customHeight="1">
      <x:c r="A82" s="74"/>
      <x:c r="B82" s="46"/>
      <x:c r="C82" s="46"/>
      <x:c r="D82" s="46"/>
      <x:c r="E82" s="46"/>
      <x:c r="F82" s="46"/>
      <x:c r="G82" s="46"/>
      <x:c r="H82" s="68"/>
      <x:c r="I82" s="46"/>
      <x:c r="J82" s="47"/>
    </x:row>
    <x:row r="83" ht="15" hidden="0" customHeight="1">
      <x:c r="A83" s="74"/>
      <x:c r="B83" s="46"/>
      <x:c r="C83" s="46"/>
      <x:c r="D83" s="46"/>
      <x:c r="E83" s="46"/>
      <x:c r="F83" s="46"/>
      <x:c r="G83" s="46"/>
      <x:c r="H83" s="68"/>
      <x:c r="I83" s="46"/>
      <x:c r="J83" s="47"/>
    </x:row>
    <x:row r="84" ht="15" hidden="0" customHeight="1">
      <x:c r="A84" s="74"/>
      <x:c r="B84" s="46"/>
      <x:c r="C84" s="46"/>
      <x:c r="D84" s="46"/>
      <x:c r="E84" s="46"/>
      <x:c r="F84" s="46"/>
      <x:c r="G84" s="46"/>
      <x:c r="H84" s="68"/>
      <x:c r="I84" s="46"/>
      <x:c r="J84" s="47"/>
    </x:row>
    <x:row r="85" ht="15" hidden="0" customHeight="1">
      <x:c r="A85" s="74"/>
      <x:c r="B85" s="46"/>
      <x:c r="C85" s="46"/>
      <x:c r="D85" s="46"/>
      <x:c r="E85" s="46"/>
      <x:c r="F85" s="46"/>
      <x:c r="G85" s="46"/>
      <x:c r="H85" s="68"/>
      <x:c r="I85" s="46"/>
      <x:c r="J85" s="47"/>
    </x:row>
    <x:row r="86" ht="15" hidden="0" customHeight="1">
      <x:c r="A86" s="74"/>
      <x:c r="B86" s="46"/>
      <x:c r="C86" s="46"/>
      <x:c r="D86" s="46"/>
      <x:c r="E86" s="46"/>
      <x:c r="F86" s="46"/>
      <x:c r="G86" s="46"/>
      <x:c r="H86" s="68"/>
      <x:c r="I86" s="46"/>
      <x:c r="J86" s="47"/>
    </x:row>
    <x:row r="87" ht="15" hidden="0" customHeight="1">
      <x:c r="A87" s="74"/>
      <x:c r="B87" s="46"/>
      <x:c r="C87" s="46"/>
      <x:c r="D87" s="46"/>
      <x:c r="E87" s="46"/>
      <x:c r="F87" s="46"/>
      <x:c r="G87" s="46"/>
      <x:c r="H87" s="68"/>
      <x:c r="I87" s="46"/>
      <x:c r="J87" s="47"/>
    </x:row>
    <x:row r="88" ht="15" hidden="0" customHeight="1">
      <x:c r="A88" s="74"/>
      <x:c r="B88" s="46"/>
      <x:c r="C88" s="46"/>
      <x:c r="D88" s="46"/>
      <x:c r="E88" s="46"/>
      <x:c r="F88" s="46"/>
      <x:c r="G88" s="46"/>
      <x:c r="H88" s="68"/>
      <x:c r="I88" s="46"/>
      <x:c r="J88" s="47"/>
    </x:row>
    <x:row r="89" ht="15" hidden="0" customHeight="1">
      <x:c r="A89" s="74"/>
      <x:c r="B89" s="46"/>
      <x:c r="C89" s="46"/>
      <x:c r="D89" s="46"/>
      <x:c r="E89" s="46"/>
      <x:c r="F89" s="46"/>
      <x:c r="G89" s="46"/>
      <x:c r="H89" s="68"/>
      <x:c r="I89" s="46"/>
      <x:c r="J89" s="47"/>
    </x:row>
    <x:row r="90" ht="15" hidden="0" customHeight="1">
      <x:c r="A90" s="74"/>
      <x:c r="B90" s="46"/>
      <x:c r="C90" s="46"/>
      <x:c r="D90" s="46"/>
      <x:c r="E90" s="46"/>
      <x:c r="F90" s="46"/>
      <x:c r="G90" s="46"/>
      <x:c r="H90" s="68"/>
      <x:c r="I90" s="46"/>
      <x:c r="J90" s="47"/>
    </x:row>
    <x:row r="91" ht="15" hidden="0" customHeight="1">
      <x:c r="A91" s="74"/>
      <x:c r="B91" s="46"/>
      <x:c r="C91" s="46"/>
      <x:c r="D91" s="46"/>
      <x:c r="E91" s="46"/>
      <x:c r="F91" s="46"/>
      <x:c r="G91" s="46"/>
      <x:c r="H91" s="68"/>
      <x:c r="I91" s="46"/>
      <x:c r="J91" s="47"/>
    </x:row>
    <x:row r="92" ht="15" hidden="0" customHeight="1">
      <x:c r="A92" s="74"/>
      <x:c r="B92" s="46"/>
      <x:c r="C92" s="46"/>
      <x:c r="D92" s="46"/>
      <x:c r="E92" s="46"/>
      <x:c r="F92" s="46"/>
      <x:c r="G92" s="46"/>
      <x:c r="H92" s="68"/>
      <x:c r="I92" s="46"/>
      <x:c r="J92" s="47"/>
    </x:row>
    <x:row r="93" ht="15" hidden="0" customHeight="1">
      <x:c r="A93" s="74"/>
      <x:c r="B93" s="46"/>
      <x:c r="C93" s="46"/>
      <x:c r="D93" s="46"/>
      <x:c r="E93" s="46"/>
      <x:c r="F93" s="46"/>
      <x:c r="G93" s="46"/>
      <x:c r="H93" s="68"/>
      <x:c r="I93" s="46"/>
      <x:c r="J93" s="47"/>
    </x:row>
    <x:row r="94" ht="15" hidden="0" customHeight="1">
      <x:c r="A94" s="74"/>
      <x:c r="B94" s="46"/>
      <x:c r="C94" s="46"/>
      <x:c r="D94" s="46"/>
      <x:c r="E94" s="46"/>
      <x:c r="F94" s="46"/>
      <x:c r="G94" s="46"/>
      <x:c r="H94" s="68"/>
      <x:c r="I94" s="46"/>
      <x:c r="J94" s="47"/>
    </x:row>
    <x:row r="95" ht="15" hidden="0" customHeight="1">
      <x:c r="A95" s="74"/>
      <x:c r="B95" s="46"/>
      <x:c r="C95" s="46"/>
      <x:c r="D95" s="46"/>
      <x:c r="E95" s="46"/>
      <x:c r="F95" s="46"/>
      <x:c r="G95" s="46"/>
      <x:c r="H95" s="68"/>
      <x:c r="I95" s="46"/>
      <x:c r="J95" s="47"/>
    </x:row>
    <x:row r="96" ht="15" hidden="0" customHeight="1">
      <x:c r="A96" s="74"/>
      <x:c r="B96" s="46"/>
      <x:c r="C96" s="46"/>
      <x:c r="D96" s="46"/>
      <x:c r="E96" s="46"/>
      <x:c r="F96" s="46"/>
      <x:c r="G96" s="46"/>
      <x:c r="H96" s="68"/>
      <x:c r="I96" s="46"/>
      <x:c r="J96" s="47"/>
    </x:row>
    <x:row r="97" ht="15" hidden="0" customHeight="1">
      <x:c r="A97" s="74"/>
      <x:c r="B97" s="46"/>
      <x:c r="C97" s="46"/>
      <x:c r="D97" s="46"/>
      <x:c r="E97" s="46"/>
      <x:c r="F97" s="46"/>
      <x:c r="G97" s="46"/>
      <x:c r="H97" s="68"/>
      <x:c r="I97" s="46"/>
      <x:c r="J97" s="47"/>
    </x:row>
    <x:row r="98" ht="15" hidden="0" customHeight="1">
      <x:c r="A98" s="74"/>
      <x:c r="B98" s="46"/>
      <x:c r="C98" s="46"/>
      <x:c r="D98" s="46"/>
      <x:c r="E98" s="46"/>
      <x:c r="F98" s="46"/>
      <x:c r="G98" s="46"/>
      <x:c r="H98" s="68"/>
      <x:c r="I98" s="46"/>
      <x:c r="J98" s="47"/>
    </x:row>
    <x:row r="99" ht="15" hidden="0" customHeight="1">
      <x:c r="A99" s="74"/>
      <x:c r="B99" s="46"/>
      <x:c r="C99" s="46"/>
      <x:c r="D99" s="46"/>
      <x:c r="E99" s="46"/>
      <x:c r="F99" s="46"/>
      <x:c r="G99" s="46"/>
      <x:c r="H99" s="68"/>
      <x:c r="I99" s="46"/>
      <x:c r="J99" s="47"/>
    </x:row>
    <x:row r="100" ht="15" hidden="0" customHeight="1">
      <x:c r="A100" s="74"/>
      <x:c r="B100" s="46"/>
      <x:c r="C100" s="46"/>
      <x:c r="D100" s="46"/>
      <x:c r="E100" s="46"/>
      <x:c r="F100" s="46"/>
      <x:c r="G100" s="46"/>
      <x:c r="H100" s="68"/>
      <x:c r="I100" s="46"/>
      <x:c r="J100" s="47"/>
    </x:row>
    <x:row r="101" ht="15" hidden="0" customHeight="1">
      <x:c r="A101" s="74"/>
      <x:c r="B101" s="46"/>
      <x:c r="C101" s="46"/>
      <x:c r="D101" s="46"/>
      <x:c r="E101" s="46"/>
      <x:c r="F101" s="46"/>
      <x:c r="G101" s="46"/>
      <x:c r="H101" s="68"/>
      <x:c r="I101" s="46"/>
      <x:c r="J101" s="47"/>
    </x:row>
    <x:row r="102" ht="15" hidden="0" customHeight="1">
      <x:c r="A102" s="74"/>
      <x:c r="B102" s="46"/>
      <x:c r="C102" s="46"/>
      <x:c r="D102" s="46"/>
      <x:c r="E102" s="46"/>
      <x:c r="F102" s="46"/>
      <x:c r="G102" s="46"/>
      <x:c r="H102" s="68"/>
      <x:c r="I102" s="46"/>
      <x:c r="J102" s="47"/>
    </x:row>
    <x:row r="103" ht="15" hidden="0" customHeight="1">
      <x:c r="A103" s="74"/>
      <x:c r="B103" s="46"/>
      <x:c r="C103" s="46"/>
      <x:c r="D103" s="46"/>
      <x:c r="E103" s="46"/>
      <x:c r="F103" s="46"/>
      <x:c r="G103" s="46"/>
      <x:c r="H103" s="68"/>
      <x:c r="I103" s="46"/>
      <x:c r="J103" s="47"/>
    </x:row>
    <x:row r="104" ht="15" hidden="0" customHeight="1">
      <x:c r="A104" s="74"/>
      <x:c r="B104" s="46"/>
      <x:c r="C104" s="46"/>
      <x:c r="D104" s="46"/>
      <x:c r="E104" s="46"/>
      <x:c r="F104" s="46"/>
      <x:c r="G104" s="46"/>
      <x:c r="H104" s="68"/>
      <x:c r="I104" s="46"/>
      <x:c r="J104" s="47"/>
    </x:row>
    <x:row r="105" ht="15" hidden="0" customHeight="1">
      <x:c r="A105" s="74"/>
      <x:c r="B105" s="46"/>
      <x:c r="C105" s="46"/>
      <x:c r="D105" s="46"/>
      <x:c r="E105" s="46"/>
      <x:c r="F105" s="46"/>
      <x:c r="G105" s="46"/>
      <x:c r="H105" s="68"/>
      <x:c r="I105" s="46"/>
      <x:c r="J105" s="47"/>
    </x:row>
    <x:row r="106" ht="15" hidden="0" customHeight="1">
      <x:c r="A106" s="74"/>
      <x:c r="B106" s="46"/>
      <x:c r="C106" s="46"/>
      <x:c r="D106" s="46"/>
      <x:c r="E106" s="46"/>
      <x:c r="F106" s="46"/>
      <x:c r="G106" s="46"/>
      <x:c r="H106" s="68"/>
      <x:c r="I106" s="46"/>
      <x:c r="J106" s="47"/>
    </x:row>
    <x:row r="107" ht="15" hidden="0" customHeight="1">
      <x:c r="A107" s="74"/>
      <x:c r="B107" s="46"/>
      <x:c r="C107" s="46"/>
      <x:c r="D107" s="46"/>
      <x:c r="E107" s="46"/>
      <x:c r="F107" s="46"/>
      <x:c r="G107" s="46"/>
      <x:c r="H107" s="68"/>
      <x:c r="I107" s="46"/>
      <x:c r="J107" s="47"/>
    </x:row>
    <x:row r="108" ht="15" hidden="0" customHeight="1">
      <x:c r="A108" s="74"/>
      <x:c r="B108" s="46"/>
      <x:c r="C108" s="46"/>
      <x:c r="D108" s="46"/>
      <x:c r="E108" s="46"/>
      <x:c r="F108" s="46"/>
      <x:c r="G108" s="46"/>
      <x:c r="H108" s="68"/>
      <x:c r="I108" s="46"/>
      <x:c r="J108" s="47"/>
    </x:row>
    <x:row r="109" ht="15" hidden="0" customHeight="1">
      <x:c r="A109" s="74"/>
      <x:c r="B109" s="46"/>
      <x:c r="C109" s="46"/>
      <x:c r="D109" s="46"/>
      <x:c r="E109" s="46"/>
      <x:c r="F109" s="46"/>
      <x:c r="G109" s="46"/>
      <x:c r="H109" s="68"/>
      <x:c r="I109" s="46"/>
      <x:c r="J109" s="47"/>
    </x:row>
    <x:row r="110" ht="15" hidden="0" customHeight="1">
      <x:c r="A110" s="74"/>
      <x:c r="B110" s="46"/>
      <x:c r="C110" s="46"/>
      <x:c r="D110" s="46"/>
      <x:c r="E110" s="46"/>
      <x:c r="F110" s="46"/>
      <x:c r="G110" s="46"/>
      <x:c r="H110" s="68"/>
      <x:c r="I110" s="46"/>
      <x:c r="J110" s="47"/>
    </x:row>
    <x:row r="111" ht="15" hidden="0" customHeight="1">
      <x:c r="A111" s="74"/>
      <x:c r="B111" s="46"/>
      <x:c r="C111" s="46"/>
      <x:c r="D111" s="46"/>
      <x:c r="E111" s="46"/>
      <x:c r="F111" s="46"/>
      <x:c r="G111" s="46"/>
      <x:c r="H111" s="68"/>
      <x:c r="I111" s="46"/>
      <x:c r="J111" s="47"/>
    </x:row>
    <x:row r="112" ht="15" hidden="0" customHeight="1">
      <x:c r="A112" s="74"/>
      <x:c r="B112" s="46"/>
      <x:c r="C112" s="46"/>
      <x:c r="D112" s="46"/>
      <x:c r="E112" s="46"/>
      <x:c r="F112" s="46"/>
      <x:c r="G112" s="46"/>
      <x:c r="H112" s="68"/>
      <x:c r="I112" s="46"/>
      <x:c r="J112" s="47"/>
    </x:row>
    <x:row r="113" ht="15" hidden="0" customHeight="1">
      <x:c r="A113" s="74"/>
      <x:c r="B113" s="46"/>
      <x:c r="C113" s="46"/>
      <x:c r="D113" s="46"/>
      <x:c r="E113" s="46"/>
      <x:c r="F113" s="46"/>
      <x:c r="G113" s="46"/>
      <x:c r="H113" s="68"/>
      <x:c r="I113" s="46"/>
      <x:c r="J113" s="47"/>
    </x:row>
    <x:row r="114" ht="15" hidden="0" customHeight="1">
      <x:c r="A114" s="74"/>
      <x:c r="B114" s="46"/>
      <x:c r="C114" s="46"/>
      <x:c r="D114" s="46"/>
      <x:c r="E114" s="46"/>
      <x:c r="F114" s="46"/>
      <x:c r="G114" s="46"/>
      <x:c r="H114" s="68"/>
      <x:c r="I114" s="46"/>
      <x:c r="J114" s="47"/>
    </x:row>
    <x:row r="115" ht="15" hidden="0" customHeight="1">
      <x:c r="A115" s="74"/>
      <x:c r="B115" s="46"/>
      <x:c r="C115" s="46"/>
      <x:c r="D115" s="46"/>
      <x:c r="E115" s="46"/>
      <x:c r="F115" s="46"/>
      <x:c r="G115" s="46"/>
      <x:c r="H115" s="68"/>
      <x:c r="I115" s="46"/>
      <x:c r="J115" s="47"/>
    </x:row>
    <x:row r="116" ht="15" hidden="0" customHeight="1">
      <x:c r="A116" s="74"/>
      <x:c r="B116" s="46"/>
      <x:c r="C116" s="46"/>
      <x:c r="D116" s="46"/>
      <x:c r="E116" s="46"/>
      <x:c r="F116" s="46"/>
      <x:c r="G116" s="46"/>
      <x:c r="H116" s="68"/>
      <x:c r="I116" s="46"/>
      <x:c r="J116" s="47"/>
    </x:row>
    <x:row r="117" ht="15" hidden="0" customHeight="1">
      <x:c r="A117" s="74"/>
      <x:c r="B117" s="46"/>
      <x:c r="C117" s="46"/>
      <x:c r="D117" s="46"/>
      <x:c r="E117" s="46"/>
      <x:c r="F117" s="46"/>
      <x:c r="G117" s="46"/>
      <x:c r="H117" s="68"/>
      <x:c r="I117" s="46"/>
      <x:c r="J117" s="47"/>
    </x:row>
    <x:row r="118" ht="15" hidden="0" customHeight="1">
      <x:c r="A118" s="74"/>
      <x:c r="B118" s="46"/>
      <x:c r="C118" s="46"/>
      <x:c r="D118" s="46"/>
      <x:c r="E118" s="46"/>
      <x:c r="F118" s="46"/>
      <x:c r="G118" s="46"/>
      <x:c r="H118" s="68"/>
      <x:c r="I118" s="46"/>
      <x:c r="J118" s="47"/>
    </x:row>
    <x:row r="119" ht="15" hidden="0" customHeight="1">
      <x:c r="A119" s="74"/>
      <x:c r="B119" s="46"/>
      <x:c r="C119" s="46"/>
      <x:c r="D119" s="46"/>
      <x:c r="E119" s="46"/>
      <x:c r="F119" s="46"/>
      <x:c r="G119" s="46"/>
      <x:c r="H119" s="68"/>
      <x:c r="I119" s="46"/>
      <x:c r="J119" s="47"/>
    </x:row>
    <x:row r="120" ht="15" hidden="0" customHeight="1">
      <x:c r="A120" s="74"/>
      <x:c r="B120" s="46"/>
      <x:c r="C120" s="46"/>
      <x:c r="D120" s="46"/>
      <x:c r="E120" s="46"/>
      <x:c r="F120" s="46"/>
      <x:c r="G120" s="46"/>
      <x:c r="H120" s="68"/>
      <x:c r="I120" s="46"/>
      <x:c r="J120" s="47"/>
    </x:row>
    <x:row r="121" ht="15" hidden="0" customHeight="1">
      <x:c r="A121" s="74"/>
      <x:c r="B121" s="46"/>
      <x:c r="C121" s="46"/>
      <x:c r="D121" s="46"/>
      <x:c r="E121" s="46"/>
      <x:c r="F121" s="46"/>
      <x:c r="G121" s="46"/>
      <x:c r="H121" s="68"/>
      <x:c r="I121" s="46"/>
      <x:c r="J121" s="47"/>
    </x:row>
    <x:row r="122" ht="15" hidden="0" customHeight="1">
      <x:c r="A122" s="74"/>
      <x:c r="B122" s="46"/>
      <x:c r="C122" s="46"/>
      <x:c r="D122" s="46"/>
      <x:c r="E122" s="46"/>
      <x:c r="F122" s="46"/>
      <x:c r="G122" s="46"/>
      <x:c r="H122" s="68"/>
      <x:c r="I122" s="46"/>
      <x:c r="J122" s="47"/>
    </x:row>
    <x:row r="123" ht="15" hidden="0" customHeight="1">
      <x:c r="A123" s="74"/>
      <x:c r="B123" s="46"/>
      <x:c r="C123" s="46"/>
      <x:c r="D123" s="46"/>
      <x:c r="E123" s="46"/>
      <x:c r="F123" s="46"/>
      <x:c r="G123" s="46"/>
      <x:c r="H123" s="68"/>
      <x:c r="I123" s="46"/>
      <x:c r="J123" s="47"/>
    </x:row>
    <x:row r="124" ht="15" hidden="0" customHeight="1">
      <x:c r="A124" s="74"/>
      <x:c r="B124" s="46"/>
      <x:c r="C124" s="46"/>
      <x:c r="D124" s="46"/>
      <x:c r="E124" s="46"/>
      <x:c r="F124" s="46"/>
      <x:c r="G124" s="46"/>
      <x:c r="H124" s="68"/>
      <x:c r="I124" s="46"/>
      <x:c r="J124" s="47"/>
    </x:row>
    <x:row r="125" ht="15" hidden="0" customHeight="1">
      <x:c r="A125" s="74"/>
      <x:c r="B125" s="46"/>
      <x:c r="C125" s="46"/>
      <x:c r="D125" s="46"/>
      <x:c r="E125" s="46"/>
      <x:c r="F125" s="46"/>
      <x:c r="G125" s="46"/>
      <x:c r="H125" s="68"/>
      <x:c r="I125" s="46"/>
      <x:c r="J125" s="47"/>
    </x:row>
    <x:row r="126" ht="15" hidden="0" customHeight="1">
      <x:c r="A126" s="74"/>
      <x:c r="B126" s="46"/>
      <x:c r="C126" s="46"/>
      <x:c r="D126" s="46"/>
      <x:c r="E126" s="46"/>
      <x:c r="F126" s="46"/>
      <x:c r="G126" s="46"/>
      <x:c r="H126" s="68"/>
      <x:c r="I126" s="46"/>
      <x:c r="J126" s="47"/>
    </x:row>
    <x:row r="127" ht="15" hidden="0" customHeight="1">
      <x:c r="A127" s="74"/>
      <x:c r="B127" s="46"/>
      <x:c r="C127" s="46"/>
      <x:c r="D127" s="46"/>
      <x:c r="E127" s="46"/>
      <x:c r="F127" s="46"/>
      <x:c r="G127" s="46"/>
      <x:c r="H127" s="68"/>
      <x:c r="I127" s="46"/>
      <x:c r="J127" s="47"/>
    </x:row>
    <x:row r="128" ht="15" hidden="0" customHeight="1">
      <x:c r="A128" s="74"/>
      <x:c r="B128" s="46"/>
      <x:c r="C128" s="46"/>
      <x:c r="D128" s="46"/>
      <x:c r="E128" s="46"/>
      <x:c r="F128" s="46"/>
      <x:c r="G128" s="46"/>
      <x:c r="H128" s="68"/>
      <x:c r="I128" s="46"/>
      <x:c r="J128" s="47"/>
    </x:row>
    <x:row r="129" ht="15" hidden="0" customHeight="1">
      <x:c r="A129" s="74"/>
      <x:c r="B129" s="46"/>
      <x:c r="C129" s="46"/>
      <x:c r="D129" s="46"/>
      <x:c r="E129" s="46"/>
      <x:c r="F129" s="46"/>
      <x:c r="G129" s="46"/>
      <x:c r="H129" s="68"/>
      <x:c r="I129" s="46"/>
      <x:c r="J129" s="47"/>
    </x:row>
    <x:row r="130" ht="15" hidden="0" customHeight="1">
      <x:c r="A130" s="74"/>
      <x:c r="B130" s="46"/>
      <x:c r="C130" s="46"/>
      <x:c r="D130" s="46"/>
      <x:c r="E130" s="46"/>
      <x:c r="F130" s="46"/>
      <x:c r="G130" s="46"/>
      <x:c r="H130" s="68"/>
      <x:c r="I130" s="46"/>
      <x:c r="J130" s="47"/>
    </x:row>
    <x:row r="131" ht="15" hidden="0" customHeight="1">
      <x:c r="A131" s="74"/>
      <x:c r="B131" s="46"/>
      <x:c r="C131" s="46"/>
      <x:c r="D131" s="46"/>
      <x:c r="E131" s="46"/>
      <x:c r="F131" s="46"/>
      <x:c r="G131" s="46"/>
      <x:c r="H131" s="68"/>
      <x:c r="I131" s="46"/>
      <x:c r="J131" s="47"/>
    </x:row>
    <x:row r="132" ht="15" hidden="0" customHeight="1">
      <x:c r="A132" s="74"/>
      <x:c r="B132" s="46"/>
      <x:c r="C132" s="46"/>
      <x:c r="D132" s="46"/>
      <x:c r="E132" s="46"/>
      <x:c r="F132" s="46"/>
      <x:c r="G132" s="46"/>
      <x:c r="H132" s="68"/>
      <x:c r="I132" s="46"/>
      <x:c r="J132" s="47"/>
    </x:row>
    <x:row r="133" ht="15" hidden="0" customHeight="1">
      <x:c r="A133" s="74"/>
      <x:c r="B133" s="46"/>
      <x:c r="C133" s="46"/>
      <x:c r="D133" s="46"/>
      <x:c r="E133" s="46"/>
      <x:c r="F133" s="46"/>
      <x:c r="G133" s="46"/>
      <x:c r="H133" s="68"/>
      <x:c r="I133" s="46"/>
      <x:c r="J133" s="47"/>
    </x:row>
    <x:row r="134" ht="15" hidden="0" customHeight="1">
      <x:c r="A134" s="74"/>
      <x:c r="B134" s="46"/>
      <x:c r="C134" s="46"/>
      <x:c r="D134" s="46"/>
      <x:c r="E134" s="46"/>
      <x:c r="F134" s="46"/>
      <x:c r="G134" s="46"/>
      <x:c r="H134" s="68"/>
      <x:c r="I134" s="46"/>
      <x:c r="J134" s="47"/>
    </x:row>
    <x:row r="135" ht="15" hidden="0" customHeight="1">
      <x:c r="A135" s="74"/>
      <x:c r="B135" s="46"/>
      <x:c r="C135" s="46"/>
      <x:c r="D135" s="46"/>
      <x:c r="E135" s="46"/>
      <x:c r="F135" s="46"/>
      <x:c r="G135" s="46"/>
      <x:c r="H135" s="68"/>
      <x:c r="I135" s="46"/>
      <x:c r="J135" s="47"/>
    </x:row>
    <x:row r="136" ht="15" hidden="0" customHeight="1">
      <x:c r="A136" s="74"/>
      <x:c r="B136" s="46"/>
      <x:c r="C136" s="46"/>
      <x:c r="D136" s="46"/>
      <x:c r="E136" s="46"/>
      <x:c r="F136" s="46"/>
      <x:c r="G136" s="46"/>
      <x:c r="H136" s="68"/>
      <x:c r="I136" s="46"/>
      <x:c r="J136" s="47"/>
    </x:row>
    <x:row r="137" ht="15" hidden="0" customHeight="1">
      <x:c r="A137" s="74"/>
      <x:c r="B137" s="46"/>
      <x:c r="C137" s="46"/>
      <x:c r="D137" s="46"/>
      <x:c r="E137" s="46"/>
      <x:c r="F137" s="46"/>
      <x:c r="G137" s="46"/>
      <x:c r="H137" s="68"/>
      <x:c r="I137" s="46"/>
      <x:c r="J137" s="47"/>
    </x:row>
    <x:row r="138" ht="15" hidden="0" customHeight="1">
      <x:c r="A138" s="74"/>
      <x:c r="B138" s="46"/>
      <x:c r="C138" s="46"/>
      <x:c r="D138" s="46"/>
      <x:c r="E138" s="46"/>
      <x:c r="F138" s="46"/>
      <x:c r="G138" s="46"/>
      <x:c r="H138" s="68"/>
      <x:c r="I138" s="46"/>
      <x:c r="J138" s="47"/>
    </x:row>
    <x:row r="139" ht="15" hidden="0" customHeight="1">
      <x:c r="A139" s="74"/>
      <x:c r="B139" s="46"/>
      <x:c r="C139" s="46"/>
      <x:c r="D139" s="46"/>
      <x:c r="E139" s="46"/>
      <x:c r="F139" s="46"/>
      <x:c r="G139" s="46"/>
      <x:c r="H139" s="68"/>
      <x:c r="I139" s="46"/>
      <x:c r="J139" s="47"/>
    </x:row>
    <x:row r="140" ht="15" hidden="0" customHeight="1">
      <x:c r="A140" s="74"/>
      <x:c r="B140" s="46"/>
      <x:c r="C140" s="46"/>
      <x:c r="D140" s="46"/>
      <x:c r="E140" s="46"/>
      <x:c r="F140" s="46"/>
      <x:c r="G140" s="46"/>
      <x:c r="H140" s="68"/>
      <x:c r="I140" s="46"/>
      <x:c r="J140" s="47"/>
    </x:row>
    <x:row r="141" ht="15" hidden="0" customHeight="1">
      <x:c r="A141" s="74"/>
      <x:c r="B141" s="46"/>
      <x:c r="C141" s="46"/>
      <x:c r="D141" s="46"/>
      <x:c r="E141" s="46"/>
      <x:c r="F141" s="46"/>
      <x:c r="G141" s="46"/>
      <x:c r="H141" s="68"/>
      <x:c r="I141" s="46"/>
      <x:c r="J141" s="47"/>
    </x:row>
    <x:row r="142" ht="15" hidden="0" customHeight="1">
      <x:c r="A142" s="74"/>
      <x:c r="B142" s="46"/>
      <x:c r="C142" s="46"/>
      <x:c r="D142" s="46"/>
      <x:c r="E142" s="46"/>
      <x:c r="F142" s="46"/>
      <x:c r="G142" s="46"/>
      <x:c r="H142" s="68"/>
      <x:c r="I142" s="46"/>
      <x:c r="J142" s="47"/>
    </x:row>
    <x:row r="143" ht="15" hidden="0" customHeight="1">
      <x:c r="A143" s="74"/>
      <x:c r="B143" s="46"/>
      <x:c r="C143" s="46"/>
      <x:c r="D143" s="46"/>
      <x:c r="E143" s="46"/>
      <x:c r="F143" s="46"/>
      <x:c r="G143" s="46"/>
      <x:c r="H143" s="68"/>
      <x:c r="I143" s="46"/>
      <x:c r="J143" s="47"/>
    </x:row>
    <x:row r="144" ht="15" hidden="0" customHeight="1">
      <x:c r="A144" s="74"/>
      <x:c r="B144" s="46"/>
      <x:c r="C144" s="46"/>
      <x:c r="D144" s="46"/>
      <x:c r="E144" s="46"/>
      <x:c r="F144" s="46"/>
      <x:c r="G144" s="46"/>
      <x:c r="H144" s="68"/>
      <x:c r="I144" s="46"/>
      <x:c r="J144" s="47"/>
    </x:row>
    <x:row r="145" ht="15" hidden="0" customHeight="1">
      <x:c r="A145" s="74"/>
      <x:c r="B145" s="46"/>
      <x:c r="C145" s="46"/>
      <x:c r="D145" s="46"/>
      <x:c r="E145" s="46"/>
      <x:c r="F145" s="46"/>
      <x:c r="G145" s="46"/>
      <x:c r="H145" s="68"/>
      <x:c r="I145" s="46"/>
      <x:c r="J145" s="47"/>
    </x:row>
    <x:row r="146" ht="15" hidden="0" customHeight="1">
      <x:c r="A146" s="74"/>
      <x:c r="B146" s="46"/>
      <x:c r="C146" s="46"/>
      <x:c r="D146" s="46"/>
      <x:c r="E146" s="46"/>
      <x:c r="F146" s="46"/>
      <x:c r="G146" s="46"/>
      <x:c r="H146" s="68"/>
      <x:c r="I146" s="46"/>
      <x:c r="J146" s="47"/>
    </x:row>
    <x:row r="147" ht="15" hidden="0" customHeight="1">
      <x:c r="A147" s="74"/>
      <x:c r="B147" s="46"/>
      <x:c r="C147" s="46"/>
      <x:c r="D147" s="46"/>
      <x:c r="E147" s="46"/>
      <x:c r="F147" s="46"/>
      <x:c r="G147" s="46"/>
      <x:c r="H147" s="68"/>
      <x:c r="I147" s="46"/>
      <x:c r="J147" s="47"/>
    </x:row>
    <x:row r="148" ht="15" hidden="0" customHeight="1">
      <x:c r="A148" s="74"/>
      <x:c r="B148" s="46"/>
      <x:c r="C148" s="46"/>
      <x:c r="D148" s="46"/>
      <x:c r="E148" s="46"/>
      <x:c r="F148" s="46"/>
      <x:c r="G148" s="46"/>
      <x:c r="H148" s="68"/>
      <x:c r="I148" s="46"/>
      <x:c r="J148" s="47"/>
    </x:row>
    <x:row r="149" ht="15" hidden="0" customHeight="1">
      <x:c r="A149" s="74"/>
      <x:c r="B149" s="46"/>
      <x:c r="C149" s="46"/>
      <x:c r="D149" s="46"/>
      <x:c r="E149" s="46"/>
      <x:c r="F149" s="46"/>
      <x:c r="G149" s="46"/>
      <x:c r="H149" s="68"/>
      <x:c r="I149" s="46"/>
      <x:c r="J149" s="47"/>
    </x:row>
    <x:row r="150" ht="15" hidden="0" customHeight="1">
      <x:c r="A150" s="74"/>
      <x:c r="B150" s="46"/>
      <x:c r="C150" s="46"/>
      <x:c r="D150" s="46"/>
      <x:c r="E150" s="46"/>
      <x:c r="F150" s="46"/>
      <x:c r="G150" s="46"/>
      <x:c r="H150" s="68"/>
      <x:c r="I150" s="46"/>
      <x:c r="J150" s="47"/>
    </x:row>
    <x:row r="151" ht="15" hidden="0" customHeight="1">
      <x:c r="A151" s="74"/>
      <x:c r="B151" s="46"/>
      <x:c r="C151" s="46"/>
      <x:c r="D151" s="46"/>
      <x:c r="E151" s="46"/>
      <x:c r="F151" s="46"/>
      <x:c r="G151" s="46"/>
      <x:c r="H151" s="68"/>
      <x:c r="I151" s="46"/>
      <x:c r="J151" s="47"/>
    </x:row>
    <x:row r="152" ht="15" hidden="0" customHeight="1">
      <x:c r="A152" s="74"/>
      <x:c r="B152" s="46"/>
      <x:c r="C152" s="46"/>
      <x:c r="D152" s="46"/>
      <x:c r="E152" s="46"/>
      <x:c r="F152" s="46"/>
      <x:c r="G152" s="46"/>
      <x:c r="H152" s="68"/>
      <x:c r="I152" s="46"/>
      <x:c r="J152" s="47"/>
    </x:row>
    <x:row r="153" ht="15" hidden="0" customHeight="1">
      <x:c r="A153" s="74"/>
      <x:c r="B153" s="46"/>
      <x:c r="C153" s="46"/>
      <x:c r="D153" s="46"/>
      <x:c r="E153" s="46"/>
      <x:c r="F153" s="46"/>
      <x:c r="G153" s="46"/>
      <x:c r="H153" s="68"/>
      <x:c r="I153" s="46"/>
      <x:c r="J153" s="47"/>
    </x:row>
    <x:row r="154" ht="15" hidden="0" customHeight="1">
      <x:c r="A154" s="75"/>
      <x:c r="B154" s="49"/>
      <x:c r="C154" s="49"/>
      <x:c r="D154" s="49"/>
      <x:c r="E154" s="49"/>
      <x:c r="F154" s="49"/>
      <x:c r="G154" s="49"/>
      <x:c r="H154" s="69"/>
      <x:c r="I154" s="49"/>
      <x:c r="J154" s="50"/>
    </x:row>
  </x:sheetData>
  <x:mergeCells>
    <x:mergeCell ref="A1:J1"/>
    <x:mergeCell ref="A2:H2"/>
  </x:mergeCells>
  <x:conditionalFormatting sqref="F5:F154">
    <x:cfRule type="containsText" dxfId="2" priority="1" operator="containsText" text="Critical"/>
    <x:cfRule type="containsText" dxfId="3" priority="2" operator="containsText" text="Concern"/>
  </x:conditionalFormatting>
  <x:dataValidations count="4">
    <x:dataValidation type="list" sqref="C5:C154">
      <x:formula1>'Animals'!$A$5:$A$104</x:formula1>
    </x:dataValidation>
    <x:dataValidation type="list" sqref="D5:D154">
      <x:formula1>'Lists'!$F$5:$F$10</x:formula1>
    </x:dataValidation>
    <x:dataValidation type="list" sqref="F5:F154">
      <x:formula1>'Lists'!$E$5:$E$8</x:formula1>
    </x:dataValidation>
    <x:dataValidation type="list" sqref="I5:I15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7c0d2a5cc640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880001068115234" hidden="0" customWidth="1"/>
    <x:col min="2" max="2" width="51.880001068115234" hidden="0" customWidth="1"/>
    <x:col min="3" max="3" width="51.880001068115234" hidden="0" customWidth="1"/>
    <x:col min="4" max="4" width="51.880001068115234" hidden="0" customWidth="1"/>
    <x:col min="5" max="5" width="51.880001068115234" hidden="0" customWidth="1"/>
    <x:col min="6" max="6" width="51.880001068115234" hidden="0" customWidth="1"/>
  </x:cols>
  <x:sheetData>
    <x:row r="1" ht="25.5" customHeight="1">
      <x:c r="A1" s="4" t="str">
        <x:v>Reference Lists</x:v>
      </x:c>
      <x:c r="B1" s="4" t="str">
        <x:v>Reference Lists</x:v>
      </x:c>
      <x:c r="C1" s="4" t="str">
        <x:v>Reference Lists</x:v>
      </x:c>
      <x:c r="D1" s="4" t="str">
        <x:v>Reference Lists</x:v>
      </x:c>
      <x:c r="E1" s="4" t="str">
        <x:v>Reference Lists</x:v>
      </x:c>
      <x:c r="F1" s="4" t="str">
        <x:v>Reference Lists</x:v>
      </x:c>
    </x:row>
    <x:row r="2" ht="25.5" customHeight="1">
      <x:c r="A2" s="8" t="str">
        <x:v>Edit these values if you want different dropdown options in the logging tabs.</x:v>
      </x:c>
      <x:c r="B2" s="8" t="str">
        <x:v>Edit these values if you want different dropdown options in the logging tabs.</x:v>
      </x:c>
      <x:c r="C2" s="8" t="str">
        <x:v>Edit these values if you want different dropdown options in the logging tabs.</x:v>
      </x:c>
      <x:c r="D2" s="8" t="str">
        <x:v>Edit these values if you want different dropdown options in the logging tabs.</x:v>
      </x:c>
      <x:c r="E2" s="8" t="str">
        <x:v>Edit these values if you want different dropdown options in the logging tabs.</x:v>
      </x:c>
      <x:c r="F2" s="8" t="str">
        <x:v>Edit these values if you want different dropdown options in the logging tabs.</x:v>
      </x:c>
      <x:c r="G2" s="8" t="str">
        <x:v>Edit these values if you want different dropdown options in the logging tabs.</x:v>
      </x:c>
      <x:c r="H2" s="8" t="str">
        <x:v>Edit these values if you want different dropdown options in the logging tabs.</x:v>
      </x:c>
    </x:row>
    <x:row r="4">
      <x:c r="A4" s="19" t="str">
        <x:v>Species</x:v>
      </x:c>
      <x:c r="B4" s="20" t="str">
        <x:v>Sex</x:v>
      </x:c>
      <x:c r="C4" s="20" t="str">
        <x:v>Status</x:v>
      </x:c>
      <x:c r="D4" s="20" t="str">
        <x:v>Behavior Score</x:v>
      </x:c>
      <x:c r="E4" s="20" t="str">
        <x:v>Alert Level</x:v>
      </x:c>
      <x:c r="F4" s="21" t="str">
        <x:v>Event Type</x:v>
      </x:c>
    </x:row>
    <x:row r="5">
      <x:c r="A5" s="42" t="str">
        <x:v>Mouse</x:v>
      </x:c>
      <x:c r="B5" s="43" t="str">
        <x:v>Female</x:v>
      </x:c>
      <x:c r="C5" s="43" t="str">
        <x:v>Active</x:v>
      </x:c>
      <x:c r="D5" s="51" t="n">
        <x:v>0</x:v>
      </x:c>
      <x:c r="E5" s="43" t="str">
        <x:v>Normal</x:v>
      </x:c>
      <x:c r="F5" s="44" t="str">
        <x:v>Medication</x:v>
      </x:c>
    </x:row>
    <x:row r="6">
      <x:c r="A6" s="45" t="str">
        <x:v>Rat</x:v>
      </x:c>
      <x:c r="B6" s="46" t="str">
        <x:v>Male</x:v>
      </x:c>
      <x:c r="C6" s="46" t="str">
        <x:v>Observation</x:v>
      </x:c>
      <x:c r="D6" s="52" t="n">
        <x:v>1</x:v>
      </x:c>
      <x:c r="E6" s="46" t="str">
        <x:v>Watch</x:v>
      </x:c>
      <x:c r="F6" s="47" t="str">
        <x:v>Procedure</x:v>
      </x:c>
    </x:row>
    <x:row r="7">
      <x:c r="A7" s="45" t="str">
        <x:v>Zebrafish</x:v>
      </x:c>
      <x:c r="B7" s="46" t="str">
        <x:v>Unknown</x:v>
      </x:c>
      <x:c r="C7" s="46" t="str">
        <x:v>Quarantine</x:v>
      </x:c>
      <x:c r="D7" s="52" t="n">
        <x:v>2</x:v>
      </x:c>
      <x:c r="E7" s="46" t="str">
        <x:v>Concern</x:v>
      </x:c>
      <x:c r="F7" s="47" t="str">
        <x:v>Health check</x:v>
      </x:c>
    </x:row>
    <x:row r="8">
      <x:c r="A8" s="45" t="str">
        <x:v>Rabbit</x:v>
      </x:c>
      <x:c r="B8" s="46" t="str"/>
      <x:c r="C8" s="46" t="str">
        <x:v>Retired</x:v>
      </x:c>
      <x:c r="D8" s="52" t="n">
        <x:v>3</x:v>
      </x:c>
      <x:c r="E8" s="46" t="str">
        <x:v>Critical</x:v>
      </x:c>
      <x:c r="F8" s="47" t="str">
        <x:v>Environmental change</x:v>
      </x:c>
    </x:row>
    <x:row r="9">
      <x:c r="A9" s="45" t="str">
        <x:v>Other</x:v>
      </x:c>
      <x:c r="B9" s="46" t="str"/>
      <x:c r="C9" s="46" t="str"/>
      <x:c r="D9" s="52" t="n">
        <x:v>4</x:v>
      </x:c>
      <x:c r="E9" s="46" t="str"/>
      <x:c r="F9" s="47" t="str">
        <x:v>Incident</x:v>
      </x:c>
    </x:row>
    <x:row r="10">
      <x:c r="A10" s="45" t="str"/>
      <x:c r="B10" s="46" t="str"/>
      <x:c r="C10" s="46" t="str"/>
      <x:c r="D10" s="52" t="n">
        <x:v>5</x:v>
      </x:c>
      <x:c r="E10" s="46" t="str"/>
      <x:c r="F10" s="47" t="str">
        <x:v>Other</x:v>
      </x:c>
    </x:row>
    <x:row r="11">
      <x:c r="A11" s="45" t="str"/>
      <x:c r="B11" s="46" t="str"/>
      <x:c r="C11" s="46" t="str"/>
      <x:c r="D11" s="46" t="str"/>
      <x:c r="E11" s="46" t="str"/>
      <x:c r="F11" s="47" t="str"/>
    </x:row>
    <x:row r="12">
      <x:c r="A12" s="48" t="str"/>
      <x:c r="B12" s="49" t="str"/>
      <x:c r="C12" s="49" t="str"/>
      <x:c r="D12" s="49" t="str"/>
      <x:c r="E12" s="49" t="str"/>
      <x:c r="F12" s="50" t="str"/>
    </x:row>
  </x:sheetData>
  <x:mergeCells>
    <x:mergeCell ref="A1:F1"/>
    <x:mergeCell ref="A2:H2"/>
  </x:mergeCells>
  <x:pageMargins left="0.7" right="0.7" top="0.75" bottom="0.75" header="0.3" footer="0.3"/>
</x:worksheet>
</file>